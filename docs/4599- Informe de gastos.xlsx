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cia Zuñiga\Dropbox\1 - Computadora AZ\Documentos\2025\Gastos\OT\OT - Comprobacion Amex diciembre (2)\"/>
    </mc:Choice>
  </mc:AlternateContent>
  <xr:revisionPtr revIDLastSave="0" documentId="13_ncr:1_{112AD742-54F7-4C3F-82BE-FF18A76F1428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Hoja1" sheetId="1" r:id="rId1"/>
  </sheets>
  <definedNames>
    <definedName name="_xlnm.Print_Area" localSheetId="0">Hoja1!$A$1:$K$58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F29" i="1"/>
  <c r="E29" i="1"/>
  <c r="G38" i="1"/>
  <c r="G37" i="1"/>
  <c r="G36" i="1"/>
  <c r="G35" i="1"/>
  <c r="G34" i="1"/>
  <c r="G33" i="1"/>
  <c r="F28" i="1"/>
  <c r="E28" i="1"/>
  <c r="G28" i="1" s="1"/>
  <c r="F27" i="1"/>
  <c r="E27" i="1"/>
  <c r="G46" i="1"/>
  <c r="G45" i="1"/>
  <c r="G44" i="1"/>
  <c r="G43" i="1"/>
  <c r="G42" i="1"/>
  <c r="G41" i="1"/>
  <c r="G40" i="1"/>
  <c r="G39" i="1"/>
  <c r="G32" i="1"/>
  <c r="G31" i="1"/>
  <c r="G30" i="1"/>
  <c r="G29" i="1" l="1"/>
  <c r="F47" i="1"/>
  <c r="G27" i="1"/>
  <c r="E47" i="1"/>
  <c r="G47" i="1" l="1"/>
  <c r="F5" i="1" l="1"/>
  <c r="I47" i="1"/>
  <c r="G49" i="1" l="1"/>
</calcChain>
</file>

<file path=xl/sharedStrings.xml><?xml version="1.0" encoding="utf-8"?>
<sst xmlns="http://schemas.openxmlformats.org/spreadsheetml/2006/main" count="48" uniqueCount="39">
  <si>
    <t>INFORME DE GASTOS LOCALES Y DE VIAJE</t>
  </si>
  <si>
    <t>Fecha:</t>
  </si>
  <si>
    <t>Nombre de la persona que comprueba:</t>
  </si>
  <si>
    <t>Tipo de Gasto:</t>
  </si>
  <si>
    <t>Extranjero (   )</t>
  </si>
  <si>
    <t>No. y nombre de las personas que viajan con el responsable:</t>
  </si>
  <si>
    <t>Fecha del viaje:</t>
  </si>
  <si>
    <t>Lugar a donde viaja:</t>
  </si>
  <si>
    <t>Motivo del Gasto:</t>
  </si>
  <si>
    <t>Tipo de Moneda:</t>
  </si>
  <si>
    <t>NACIONAL</t>
  </si>
  <si>
    <t>USD</t>
  </si>
  <si>
    <t>CONCEPTO DEL GASTO</t>
  </si>
  <si>
    <t>No. Factura</t>
  </si>
  <si>
    <t>Importe s/IVA</t>
  </si>
  <si>
    <t>IVA</t>
  </si>
  <si>
    <t>Total</t>
  </si>
  <si>
    <t>Cantidad Entregada</t>
  </si>
  <si>
    <r>
      <t xml:space="preserve">Dif. A Pagar y/o Reembolso / </t>
    </r>
    <r>
      <rPr>
        <b/>
        <sz val="12"/>
        <rFont val="Arial"/>
        <family val="2"/>
      </rPr>
      <t>SALDO</t>
    </r>
  </si>
  <si>
    <t>Firma del empleado</t>
  </si>
  <si>
    <t>Autorizado por:</t>
  </si>
  <si>
    <t>Acuse de Recibo:</t>
  </si>
  <si>
    <t>EXTRANJERA</t>
  </si>
  <si>
    <t>Fecha del Gasto</t>
  </si>
  <si>
    <t>De Viaje (   )</t>
  </si>
  <si>
    <t>PLATAFORMA SPORTS, S.C.</t>
  </si>
  <si>
    <t>Nacional (   )</t>
  </si>
  <si>
    <t>JOSÉ ODILÓN TRUJILLO MACEDO</t>
  </si>
  <si>
    <t>Local ( X )</t>
  </si>
  <si>
    <t>Gasto con American Expess</t>
  </si>
  <si>
    <t>Referencia</t>
  </si>
  <si>
    <t>GASTOS VARIOS CON TARJETA AMERICAN EXPRESS DEL MES DE DICIEMBRE (2)</t>
  </si>
  <si>
    <t>Alimentos</t>
  </si>
  <si>
    <t>Uber</t>
  </si>
  <si>
    <t>Gasolina</t>
  </si>
  <si>
    <t>Peajes</t>
  </si>
  <si>
    <t>varias</t>
  </si>
  <si>
    <t>iCloud</t>
  </si>
  <si>
    <t>vale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</si>
</sst>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80A]d&quot; de &quot;mmmm&quot; de &quot;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2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7" fillId="0" borderId="0" xfId="0" applyFont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3" fillId="0" borderId="15" xfId="0" applyFont="1" applyBorder="1" applyAlignment="1">
      <alignment horizontal="center"/>
    </xf>
    <xf numFmtId="0" fontId="0" fillId="0" borderId="15" xfId="0" applyBorder="1"/>
    <xf numFmtId="0" fontId="3" fillId="0" borderId="15" xfId="0" applyFont="1" applyBorder="1"/>
    <xf numFmtId="0" fontId="0" fillId="0" borderId="15" xfId="0" applyBorder="1" applyAlignment="1">
      <alignment horizontal="center"/>
    </xf>
    <xf numFmtId="4" fontId="0" fillId="0" borderId="15" xfId="0" applyNumberFormat="1" applyBorder="1"/>
    <xf numFmtId="4" fontId="3" fillId="0" borderId="16" xfId="0" applyNumberFormat="1" applyFont="1" applyBorder="1"/>
    <xf numFmtId="4" fontId="0" fillId="0" borderId="16" xfId="0" applyNumberFormat="1" applyBorder="1"/>
    <xf numFmtId="16" fontId="0" fillId="0" borderId="17" xfId="0" applyNumberFormat="1" applyBorder="1"/>
    <xf numFmtId="4" fontId="0" fillId="0" borderId="17" xfId="0" applyNumberFormat="1" applyBorder="1"/>
    <xf numFmtId="0" fontId="0" fillId="0" borderId="17" xfId="0" applyBorder="1"/>
    <xf numFmtId="44" fontId="3" fillId="0" borderId="15" xfId="1" applyFont="1" applyBorder="1"/>
    <xf numFmtId="0" fontId="0" fillId="0" borderId="1" xfId="0" applyBorder="1"/>
    <xf numFmtId="0" fontId="0" fillId="0" borderId="10" xfId="0" applyBorder="1"/>
    <xf numFmtId="15" fontId="0" fillId="0" borderId="0" xfId="0" applyNumberFormat="1"/>
    <xf numFmtId="0" fontId="0" fillId="0" borderId="0" xfId="0" applyAlignment="1">
      <alignment horizontal="center"/>
    </xf>
    <xf numFmtId="0" fontId="3" fillId="0" borderId="15" xfId="0" applyFont="1" applyBorder="1" applyAlignment="1">
      <alignment horizontal="center" wrapText="1"/>
    </xf>
    <xf numFmtId="16" fontId="3" fillId="0" borderId="0" xfId="0" applyNumberFormat="1" applyFont="1" applyAlignment="1">
      <alignment horizontal="left"/>
    </xf>
    <xf numFmtId="0" fontId="11" fillId="0" borderId="15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/>
    </xf>
    <xf numFmtId="16" fontId="11" fillId="0" borderId="15" xfId="0" applyNumberFormat="1" applyFont="1" applyBorder="1" applyAlignment="1">
      <alignment horizontal="center"/>
    </xf>
    <xf numFmtId="4" fontId="11" fillId="0" borderId="15" xfId="0" applyNumberFormat="1" applyFont="1" applyBorder="1"/>
    <xf numFmtId="0" fontId="11" fillId="0" borderId="1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wrapText="1"/>
    </xf>
    <xf numFmtId="4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5" xfId="0" applyBorder="1"/>
    <xf numFmtId="0" fontId="11" fillId="0" borderId="5" xfId="0" applyFont="1" applyBorder="1"/>
    <xf numFmtId="0" fontId="0" fillId="0" borderId="9" xfId="0" applyBorder="1"/>
    <xf numFmtId="44" fontId="3" fillId="0" borderId="15" xfId="1" applyFont="1" applyFill="1" applyBorder="1"/>
    <xf numFmtId="0" fontId="8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" fontId="3" fillId="0" borderId="17" xfId="0" applyNumberFormat="1" applyFont="1" applyBorder="1"/>
    <xf numFmtId="4" fontId="0" fillId="0" borderId="0" xfId="0" applyNumberFormat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11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tabSelected="1" topLeftCell="C43" zoomScaleNormal="100" workbookViewId="0">
      <selection activeCell="A34" sqref="A34"/>
    </sheetView>
  </sheetViews>
  <sheetFormatPr baseColWidth="10" defaultRowHeight="14.5" x14ac:dyDescent="0.35"/>
  <cols>
    <col min="1" max="1" width="2.7265625" customWidth="1"/>
    <col min="2" max="2" width="22.81640625" bestFit="1" customWidth="1"/>
    <col min="3" max="3" width="10.453125" customWidth="1"/>
    <col min="4" max="4" width="13.54296875" customWidth="1"/>
    <col min="5" max="5" width="12.7265625" customWidth="1"/>
    <col min="7" max="7" width="11.1796875" bestFit="1" customWidth="1"/>
    <col min="8" max="8" width="1.7265625" customWidth="1"/>
    <col min="10" max="10" width="11.453125" style="32"/>
    <col min="11" max="11" width="2.7265625" customWidth="1"/>
  </cols>
  <sheetData>
    <row r="1" spans="1:11" ht="25" x14ac:dyDescent="0.35">
      <c r="A1" s="56" t="s">
        <v>25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x14ac:dyDescent="0.35">
      <c r="B2" s="1"/>
      <c r="C2" s="1"/>
    </row>
    <row r="3" spans="1:11" ht="20.5" thickBot="1" x14ac:dyDescent="0.45">
      <c r="B3" s="57" t="s">
        <v>0</v>
      </c>
      <c r="C3" s="57"/>
      <c r="D3" s="57"/>
      <c r="E3" s="57"/>
      <c r="F3" s="57"/>
      <c r="G3" s="57"/>
      <c r="H3" s="57"/>
      <c r="I3" s="57"/>
    </row>
    <row r="4" spans="1:11" ht="15" thickBot="1" x14ac:dyDescent="0.4">
      <c r="A4" s="37"/>
      <c r="B4" s="2"/>
      <c r="C4" s="2"/>
      <c r="D4" s="2"/>
      <c r="E4" s="3"/>
      <c r="F4" s="3"/>
      <c r="G4" s="3"/>
      <c r="H4" s="3"/>
      <c r="I4" s="3"/>
      <c r="J4" s="33"/>
      <c r="K4" s="4"/>
    </row>
    <row r="5" spans="1:11" ht="15" thickBot="1" x14ac:dyDescent="0.4">
      <c r="A5" s="38"/>
      <c r="E5" s="1" t="s">
        <v>1</v>
      </c>
      <c r="F5" s="73">
        <f ca="1">TODAY()</f>
        <v>46014</v>
      </c>
      <c r="G5" s="74"/>
      <c r="H5" s="74"/>
      <c r="I5" s="75"/>
      <c r="K5" s="5"/>
    </row>
    <row r="6" spans="1:11" x14ac:dyDescent="0.35">
      <c r="A6" s="38"/>
      <c r="F6" s="1"/>
      <c r="K6" s="5"/>
    </row>
    <row r="7" spans="1:11" ht="15" thickBot="1" x14ac:dyDescent="0.4">
      <c r="A7" s="38"/>
      <c r="B7" s="1" t="s">
        <v>2</v>
      </c>
      <c r="K7" s="5"/>
    </row>
    <row r="8" spans="1:11" x14ac:dyDescent="0.35">
      <c r="A8" s="38"/>
      <c r="B8" s="58" t="s">
        <v>27</v>
      </c>
      <c r="C8" s="59"/>
      <c r="D8" s="59"/>
      <c r="E8" s="59"/>
      <c r="F8" s="60"/>
      <c r="K8" s="5"/>
    </row>
    <row r="9" spans="1:11" ht="15" thickBot="1" x14ac:dyDescent="0.4">
      <c r="A9" s="38"/>
      <c r="B9" s="61"/>
      <c r="C9" s="62"/>
      <c r="D9" s="62"/>
      <c r="E9" s="62"/>
      <c r="F9" s="63"/>
      <c r="K9" s="5"/>
    </row>
    <row r="10" spans="1:11" x14ac:dyDescent="0.35">
      <c r="A10" s="38"/>
      <c r="K10" s="5"/>
    </row>
    <row r="11" spans="1:11" x14ac:dyDescent="0.35">
      <c r="A11" s="38"/>
      <c r="B11" s="1" t="s">
        <v>3</v>
      </c>
      <c r="C11" s="1" t="s">
        <v>28</v>
      </c>
      <c r="D11" s="1" t="s">
        <v>24</v>
      </c>
      <c r="E11" s="1" t="s">
        <v>26</v>
      </c>
      <c r="F11" s="1" t="s">
        <v>4</v>
      </c>
      <c r="K11" s="5"/>
    </row>
    <row r="12" spans="1:11" x14ac:dyDescent="0.35">
      <c r="A12" s="38"/>
      <c r="K12" s="5"/>
    </row>
    <row r="13" spans="1:11" x14ac:dyDescent="0.35">
      <c r="A13" s="38"/>
      <c r="B13" s="1" t="s">
        <v>5</v>
      </c>
      <c r="G13" s="64"/>
      <c r="H13" s="64"/>
      <c r="I13" s="64"/>
      <c r="K13" s="5"/>
    </row>
    <row r="14" spans="1:11" ht="15.5" x14ac:dyDescent="0.35">
      <c r="A14" s="38"/>
      <c r="B14" s="65"/>
      <c r="C14" s="65"/>
      <c r="D14" s="65"/>
      <c r="E14" s="65"/>
      <c r="F14" s="65"/>
      <c r="G14" s="65"/>
      <c r="H14" s="23"/>
      <c r="I14" s="23"/>
      <c r="K14" s="5"/>
    </row>
    <row r="15" spans="1:11" ht="15.5" x14ac:dyDescent="0.35">
      <c r="A15" s="38"/>
      <c r="B15" s="65"/>
      <c r="C15" s="65"/>
      <c r="D15" s="65"/>
      <c r="E15" s="65"/>
      <c r="F15" s="65"/>
      <c r="G15" s="65"/>
      <c r="K15" s="5"/>
    </row>
    <row r="16" spans="1:11" x14ac:dyDescent="0.35">
      <c r="A16" s="38"/>
      <c r="B16" s="6"/>
      <c r="K16" s="5"/>
    </row>
    <row r="17" spans="1:11" x14ac:dyDescent="0.35">
      <c r="A17" s="38"/>
      <c r="B17" s="1" t="s">
        <v>6</v>
      </c>
      <c r="C17" s="25"/>
      <c r="D17" s="22"/>
      <c r="E17" s="1" t="s">
        <v>7</v>
      </c>
      <c r="G17" s="42"/>
      <c r="K17" s="5"/>
    </row>
    <row r="18" spans="1:11" x14ac:dyDescent="0.35">
      <c r="A18" s="38"/>
      <c r="K18" s="5"/>
    </row>
    <row r="19" spans="1:11" x14ac:dyDescent="0.35">
      <c r="A19" s="38"/>
      <c r="B19" s="1" t="s">
        <v>8</v>
      </c>
      <c r="K19" s="5"/>
    </row>
    <row r="20" spans="1:11" ht="15" thickBot="1" x14ac:dyDescent="0.4">
      <c r="A20" s="38"/>
      <c r="K20" s="5"/>
    </row>
    <row r="21" spans="1:11" x14ac:dyDescent="0.35">
      <c r="A21" s="38"/>
      <c r="B21" s="78" t="s">
        <v>31</v>
      </c>
      <c r="C21" s="79"/>
      <c r="D21" s="79"/>
      <c r="E21" s="79"/>
      <c r="F21" s="80"/>
      <c r="G21" s="43" t="s">
        <v>30</v>
      </c>
      <c r="I21" s="76" t="s">
        <v>29</v>
      </c>
      <c r="K21" s="5"/>
    </row>
    <row r="22" spans="1:11" ht="15" thickBot="1" x14ac:dyDescent="0.4">
      <c r="A22" s="38"/>
      <c r="B22" s="81"/>
      <c r="C22" s="82"/>
      <c r="D22" s="82"/>
      <c r="E22" s="82"/>
      <c r="F22" s="83"/>
      <c r="G22" s="44">
        <v>4599</v>
      </c>
      <c r="H22" s="7"/>
      <c r="I22" s="77"/>
      <c r="J22" s="34"/>
      <c r="K22" s="8"/>
    </row>
    <row r="23" spans="1:11" x14ac:dyDescent="0.35">
      <c r="A23" s="38"/>
      <c r="K23" s="5"/>
    </row>
    <row r="24" spans="1:11" x14ac:dyDescent="0.35">
      <c r="A24" s="38"/>
      <c r="C24" s="1" t="s">
        <v>9</v>
      </c>
      <c r="E24" s="66" t="s">
        <v>10</v>
      </c>
      <c r="F24" s="67"/>
      <c r="G24" s="68"/>
      <c r="I24" s="9" t="s">
        <v>22</v>
      </c>
      <c r="K24" s="5"/>
    </row>
    <row r="25" spans="1:11" x14ac:dyDescent="0.35">
      <c r="A25" s="38"/>
      <c r="E25" s="69"/>
      <c r="F25" s="67"/>
      <c r="G25" s="68"/>
      <c r="I25" s="12" t="s">
        <v>11</v>
      </c>
      <c r="K25" s="5"/>
    </row>
    <row r="26" spans="1:11" ht="26.5" x14ac:dyDescent="0.35">
      <c r="A26" s="38"/>
      <c r="B26" s="11" t="s">
        <v>12</v>
      </c>
      <c r="C26" s="24" t="s">
        <v>23</v>
      </c>
      <c r="D26" s="11" t="s">
        <v>13</v>
      </c>
      <c r="E26" s="9" t="s">
        <v>14</v>
      </c>
      <c r="F26" s="9" t="s">
        <v>15</v>
      </c>
      <c r="G26" s="9" t="s">
        <v>16</v>
      </c>
      <c r="I26" s="12" t="s">
        <v>16</v>
      </c>
      <c r="K26" s="5"/>
    </row>
    <row r="27" spans="1:11" x14ac:dyDescent="0.35">
      <c r="A27" s="39"/>
      <c r="B27" s="27" t="s">
        <v>32</v>
      </c>
      <c r="C27" s="29" t="s">
        <v>36</v>
      </c>
      <c r="D27" s="28" t="s">
        <v>36</v>
      </c>
      <c r="E27" s="30">
        <f>1091.38+189.9+447.41+77.85+696.55+121.2</f>
        <v>2624.29</v>
      </c>
      <c r="F27" s="30">
        <f>111.45+71.59+174.62</f>
        <v>357.66</v>
      </c>
      <c r="G27" s="30">
        <f>E27+F27</f>
        <v>2981.95</v>
      </c>
      <c r="I27" s="10"/>
      <c r="K27" s="5"/>
    </row>
    <row r="28" spans="1:11" x14ac:dyDescent="0.35">
      <c r="A28" s="39"/>
      <c r="B28" s="27" t="s">
        <v>33</v>
      </c>
      <c r="C28" s="29" t="s">
        <v>36</v>
      </c>
      <c r="D28" s="28" t="s">
        <v>36</v>
      </c>
      <c r="E28" s="30">
        <f>362.03+59.96+129.95+129.63+229.95+289.75</f>
        <v>1201.27</v>
      </c>
      <c r="F28" s="30">
        <f>20.74+57.92</f>
        <v>78.66</v>
      </c>
      <c r="G28" s="30">
        <f t="shared" ref="G28:G46" si="0">E28+F28</f>
        <v>1279.93</v>
      </c>
      <c r="I28" s="13"/>
      <c r="K28" s="5"/>
    </row>
    <row r="29" spans="1:11" x14ac:dyDescent="0.35">
      <c r="A29" s="39"/>
      <c r="B29" s="27" t="s">
        <v>34</v>
      </c>
      <c r="C29" s="29" t="s">
        <v>36</v>
      </c>
      <c r="D29" s="28" t="s">
        <v>36</v>
      </c>
      <c r="E29" s="26">
        <f>1194.95+415.2+416.28+432.67+795.9+830.39</f>
        <v>4085.39</v>
      </c>
      <c r="F29" s="30">
        <f>129.21+123.7+67.33+64.77+64.6+185.94</f>
        <v>635.54999999999995</v>
      </c>
      <c r="G29" s="30">
        <f t="shared" si="0"/>
        <v>4720.9399999999996</v>
      </c>
      <c r="I29" s="13"/>
      <c r="K29" s="5"/>
    </row>
    <row r="30" spans="1:11" x14ac:dyDescent="0.35">
      <c r="A30" s="39"/>
      <c r="B30" s="27" t="s">
        <v>35</v>
      </c>
      <c r="C30" s="29" t="s">
        <v>36</v>
      </c>
      <c r="D30" s="28" t="s">
        <v>36</v>
      </c>
      <c r="E30" s="84">
        <f>823.23+182.42+438.65+153.45</f>
        <v>1597.75</v>
      </c>
      <c r="F30" s="30">
        <f>70.18+29.19+131.72+24.55</f>
        <v>255.64000000000001</v>
      </c>
      <c r="G30" s="30">
        <f t="shared" si="0"/>
        <v>1853.39</v>
      </c>
      <c r="I30" s="13"/>
      <c r="K30" s="5"/>
    </row>
    <row r="31" spans="1:11" x14ac:dyDescent="0.35">
      <c r="A31" s="39"/>
      <c r="B31" s="26" t="s">
        <v>37</v>
      </c>
      <c r="C31" s="29">
        <v>46014</v>
      </c>
      <c r="D31" s="31" t="s">
        <v>38</v>
      </c>
      <c r="E31" s="30">
        <v>98</v>
      </c>
      <c r="F31" s="30"/>
      <c r="G31" s="30">
        <f t="shared" si="0"/>
        <v>98</v>
      </c>
      <c r="I31" s="13"/>
      <c r="K31" s="5"/>
    </row>
    <row r="32" spans="1:11" x14ac:dyDescent="0.35">
      <c r="A32" s="39"/>
      <c r="B32" s="26"/>
      <c r="C32" s="29"/>
      <c r="D32" s="31"/>
      <c r="E32" s="30"/>
      <c r="F32" s="30"/>
      <c r="G32" s="30">
        <f t="shared" si="0"/>
        <v>0</v>
      </c>
      <c r="I32" s="13"/>
      <c r="K32" s="5"/>
    </row>
    <row r="33" spans="1:11" x14ac:dyDescent="0.35">
      <c r="A33" s="39"/>
      <c r="B33" s="26"/>
      <c r="C33" s="29"/>
      <c r="D33" s="31"/>
      <c r="E33" s="30"/>
      <c r="F33" s="30"/>
      <c r="G33" s="30">
        <f t="shared" si="0"/>
        <v>0</v>
      </c>
      <c r="I33" s="13"/>
      <c r="K33" s="5"/>
    </row>
    <row r="34" spans="1:11" x14ac:dyDescent="0.35">
      <c r="A34" s="39"/>
      <c r="B34" s="26"/>
      <c r="C34" s="29"/>
      <c r="D34" s="31"/>
      <c r="E34" s="30"/>
      <c r="F34" s="30"/>
      <c r="G34" s="30">
        <f t="shared" si="0"/>
        <v>0</v>
      </c>
      <c r="I34" s="13"/>
      <c r="K34" s="5"/>
    </row>
    <row r="35" spans="1:11" x14ac:dyDescent="0.35">
      <c r="A35" s="39"/>
      <c r="B35" s="27"/>
      <c r="C35" s="29"/>
      <c r="D35" s="28"/>
      <c r="E35" s="30"/>
      <c r="F35" s="30"/>
      <c r="G35" s="30">
        <f t="shared" si="0"/>
        <v>0</v>
      </c>
      <c r="I35" s="10"/>
      <c r="K35" s="5"/>
    </row>
    <row r="36" spans="1:11" x14ac:dyDescent="0.35">
      <c r="A36" s="39"/>
      <c r="B36" s="26"/>
      <c r="C36" s="29"/>
      <c r="D36" s="31"/>
      <c r="E36" s="30"/>
      <c r="F36" s="30"/>
      <c r="G36" s="30">
        <f t="shared" si="0"/>
        <v>0</v>
      </c>
      <c r="I36" s="13"/>
      <c r="K36" s="5"/>
    </row>
    <row r="37" spans="1:11" x14ac:dyDescent="0.35">
      <c r="A37" s="39"/>
      <c r="B37" s="27"/>
      <c r="C37" s="29"/>
      <c r="D37" s="28"/>
      <c r="E37" s="30"/>
      <c r="F37" s="30"/>
      <c r="G37" s="30">
        <f t="shared" si="0"/>
        <v>0</v>
      </c>
      <c r="I37" s="13"/>
      <c r="K37" s="5"/>
    </row>
    <row r="38" spans="1:11" x14ac:dyDescent="0.35">
      <c r="A38" s="39"/>
      <c r="B38" s="27"/>
      <c r="C38" s="29"/>
      <c r="D38" s="28"/>
      <c r="E38" s="30"/>
      <c r="F38" s="30"/>
      <c r="G38" s="30">
        <f t="shared" si="0"/>
        <v>0</v>
      </c>
      <c r="I38" s="13"/>
      <c r="K38" s="5"/>
    </row>
    <row r="39" spans="1:11" x14ac:dyDescent="0.35">
      <c r="A39" s="39"/>
      <c r="B39" s="26"/>
      <c r="C39" s="29"/>
      <c r="D39" s="31"/>
      <c r="E39" s="30"/>
      <c r="F39" s="30"/>
      <c r="G39" s="30">
        <f t="shared" si="0"/>
        <v>0</v>
      </c>
      <c r="I39" s="13"/>
      <c r="K39" s="5"/>
    </row>
    <row r="40" spans="1:11" x14ac:dyDescent="0.35">
      <c r="A40" s="39"/>
      <c r="B40" s="26"/>
      <c r="C40" s="29"/>
      <c r="D40" s="31"/>
      <c r="E40" s="30"/>
      <c r="F40" s="30"/>
      <c r="G40" s="30">
        <f t="shared" si="0"/>
        <v>0</v>
      </c>
      <c r="I40" s="13"/>
      <c r="K40" s="5"/>
    </row>
    <row r="41" spans="1:11" x14ac:dyDescent="0.35">
      <c r="A41" s="39"/>
      <c r="B41" s="26"/>
      <c r="C41" s="29"/>
      <c r="D41" s="31"/>
      <c r="E41" s="30"/>
      <c r="F41" s="30"/>
      <c r="G41" s="30">
        <f t="shared" si="0"/>
        <v>0</v>
      </c>
      <c r="I41" s="13"/>
      <c r="K41" s="5"/>
    </row>
    <row r="42" spans="1:11" x14ac:dyDescent="0.35">
      <c r="A42" s="39"/>
      <c r="B42" s="26"/>
      <c r="C42" s="29"/>
      <c r="D42" s="31"/>
      <c r="E42" s="30"/>
      <c r="F42" s="30"/>
      <c r="G42" s="30">
        <f t="shared" si="0"/>
        <v>0</v>
      </c>
      <c r="I42" s="13"/>
      <c r="K42" s="5"/>
    </row>
    <row r="43" spans="1:11" x14ac:dyDescent="0.35">
      <c r="A43" s="39"/>
      <c r="B43" s="26"/>
      <c r="C43" s="29"/>
      <c r="D43" s="31"/>
      <c r="E43" s="30"/>
      <c r="F43" s="30"/>
      <c r="G43" s="30">
        <f t="shared" si="0"/>
        <v>0</v>
      </c>
      <c r="I43" s="13"/>
      <c r="K43" s="5"/>
    </row>
    <row r="44" spans="1:11" x14ac:dyDescent="0.35">
      <c r="A44" s="39"/>
      <c r="B44" s="26"/>
      <c r="C44" s="29"/>
      <c r="D44" s="31"/>
      <c r="E44" s="30"/>
      <c r="F44" s="30"/>
      <c r="G44" s="30">
        <f t="shared" si="0"/>
        <v>0</v>
      </c>
      <c r="I44" s="13"/>
      <c r="K44" s="5"/>
    </row>
    <row r="45" spans="1:11" x14ac:dyDescent="0.35">
      <c r="A45" s="39"/>
      <c r="B45" s="26"/>
      <c r="C45" s="29"/>
      <c r="D45" s="31"/>
      <c r="E45" s="30"/>
      <c r="F45" s="30"/>
      <c r="G45" s="30">
        <f t="shared" si="0"/>
        <v>0</v>
      </c>
      <c r="I45" s="13"/>
      <c r="K45" s="5"/>
    </row>
    <row r="46" spans="1:11" x14ac:dyDescent="0.35">
      <c r="A46" s="39"/>
      <c r="B46" s="26"/>
      <c r="C46" s="29"/>
      <c r="D46" s="31"/>
      <c r="E46" s="30"/>
      <c r="F46" s="30"/>
      <c r="G46" s="30">
        <f t="shared" si="0"/>
        <v>0</v>
      </c>
      <c r="I46" s="13"/>
      <c r="K46" s="5"/>
    </row>
    <row r="47" spans="1:11" ht="15" thickBot="1" x14ac:dyDescent="0.4">
      <c r="A47" s="38"/>
      <c r="B47" s="11" t="s">
        <v>16</v>
      </c>
      <c r="C47" s="10"/>
      <c r="D47" s="10"/>
      <c r="E47" s="14">
        <f>SUM(E27:E46)</f>
        <v>9606.7000000000007</v>
      </c>
      <c r="F47" s="14">
        <f>SUM(F27:F46)</f>
        <v>1327.51</v>
      </c>
      <c r="G47" s="14">
        <f>SUM(G27:G46)</f>
        <v>10934.21</v>
      </c>
      <c r="I47" s="15">
        <f>SUM(I36:I46)</f>
        <v>0</v>
      </c>
      <c r="K47" s="5"/>
    </row>
    <row r="48" spans="1:11" ht="15" thickTop="1" x14ac:dyDescent="0.35">
      <c r="A48" s="38"/>
      <c r="B48" s="11" t="s">
        <v>17</v>
      </c>
      <c r="C48" s="16"/>
      <c r="D48" s="16"/>
      <c r="E48" s="17"/>
      <c r="G48" s="45"/>
      <c r="I48" s="18"/>
      <c r="K48" s="5"/>
    </row>
    <row r="49" spans="1:11" ht="15.5" x14ac:dyDescent="0.35">
      <c r="A49" s="38"/>
      <c r="B49" s="11" t="s">
        <v>18</v>
      </c>
      <c r="C49" s="10"/>
      <c r="D49" s="10"/>
      <c r="E49" s="13"/>
      <c r="F49" s="13"/>
      <c r="G49" s="41">
        <f>+G48-G47</f>
        <v>-10934.21</v>
      </c>
      <c r="I49" s="19"/>
      <c r="J49" s="35"/>
      <c r="K49" s="5"/>
    </row>
    <row r="50" spans="1:11" x14ac:dyDescent="0.35">
      <c r="A50" s="38"/>
      <c r="G50" s="46"/>
      <c r="I50" s="10"/>
      <c r="K50" s="5"/>
    </row>
    <row r="51" spans="1:11" x14ac:dyDescent="0.35">
      <c r="A51" s="38"/>
      <c r="B51" s="1"/>
      <c r="G51" s="46"/>
      <c r="K51" s="5"/>
    </row>
    <row r="52" spans="1:11" x14ac:dyDescent="0.35">
      <c r="A52" s="38"/>
      <c r="K52" s="5"/>
    </row>
    <row r="53" spans="1:11" x14ac:dyDescent="0.35">
      <c r="A53" s="38"/>
      <c r="B53" s="1" t="s">
        <v>19</v>
      </c>
      <c r="D53" s="1" t="s">
        <v>20</v>
      </c>
      <c r="H53" s="1" t="s">
        <v>21</v>
      </c>
      <c r="K53" s="5"/>
    </row>
    <row r="54" spans="1:11" x14ac:dyDescent="0.35">
      <c r="A54" s="38"/>
      <c r="K54" s="5"/>
    </row>
    <row r="55" spans="1:11" x14ac:dyDescent="0.35">
      <c r="A55" s="38"/>
      <c r="B55" s="70"/>
      <c r="D55" s="47"/>
      <c r="E55" s="48"/>
      <c r="F55" s="49"/>
      <c r="H55" s="47"/>
      <c r="I55" s="48"/>
      <c r="J55" s="49"/>
      <c r="K55" s="5"/>
    </row>
    <row r="56" spans="1:11" x14ac:dyDescent="0.35">
      <c r="A56" s="38"/>
      <c r="B56" s="71"/>
      <c r="D56" s="50"/>
      <c r="E56" s="51"/>
      <c r="F56" s="52"/>
      <c r="H56" s="50"/>
      <c r="I56" s="51"/>
      <c r="J56" s="52"/>
      <c r="K56" s="5"/>
    </row>
    <row r="57" spans="1:11" x14ac:dyDescent="0.35">
      <c r="A57" s="38"/>
      <c r="B57" s="72"/>
      <c r="D57" s="53"/>
      <c r="E57" s="54"/>
      <c r="F57" s="55"/>
      <c r="H57" s="53"/>
      <c r="I57" s="54"/>
      <c r="J57" s="55"/>
      <c r="K57" s="5"/>
    </row>
    <row r="58" spans="1:11" ht="15" thickBot="1" x14ac:dyDescent="0.4">
      <c r="A58" s="40"/>
      <c r="B58" s="20"/>
      <c r="C58" s="20"/>
      <c r="D58" s="20"/>
      <c r="E58" s="20"/>
      <c r="F58" s="20"/>
      <c r="G58" s="20"/>
      <c r="H58" s="20"/>
      <c r="I58" s="20"/>
      <c r="J58" s="36"/>
      <c r="K58" s="21"/>
    </row>
  </sheetData>
  <sortState xmlns:xlrd2="http://schemas.microsoft.com/office/spreadsheetml/2017/richdata2" ref="A36:J46">
    <sortCondition ref="C36:C46"/>
    <sortCondition ref="A36:A46"/>
  </sortState>
  <mergeCells count="14">
    <mergeCell ref="H55:J57"/>
    <mergeCell ref="A1:K1"/>
    <mergeCell ref="B3:I3"/>
    <mergeCell ref="B8:F9"/>
    <mergeCell ref="G13:I13"/>
    <mergeCell ref="B15:G15"/>
    <mergeCell ref="E24:G24"/>
    <mergeCell ref="E25:G25"/>
    <mergeCell ref="B55:B57"/>
    <mergeCell ref="D55:F57"/>
    <mergeCell ref="B14:G14"/>
    <mergeCell ref="F5:I5"/>
    <mergeCell ref="I21:I22"/>
    <mergeCell ref="B21:F22"/>
  </mergeCells>
  <printOptions horizontalCentered="1" verticalCentered="1"/>
  <pageMargins left="0.11811023622047245" right="0.11811023622047245" top="0.15748031496062992" bottom="0.15748031496062992" header="0" footer="0"/>
  <pageSetup scale="73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Plataforma 1218, 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Luis Angel Orozco Colin</cp:lastModifiedBy>
  <cp:lastPrinted>2023-12-22T02:07:17Z</cp:lastPrinted>
  <dcterms:created xsi:type="dcterms:W3CDTF">2014-06-19T19:16:05Z</dcterms:created>
  <dcterms:modified xsi:type="dcterms:W3CDTF">2025-12-23T16:00:38Z</dcterms:modified>
</cp:coreProperties>
</file>