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Pablo Lopez\Documents\1 Reportería\6 Transformación Digital\Gestión Presupuestal\"/>
    </mc:Choice>
  </mc:AlternateContent>
  <xr:revisionPtr revIDLastSave="0" documentId="13_ncr:1_{B6E37C5A-4E45-4FDF-B6D2-5DC4B582E811}" xr6:coauthVersionLast="47" xr6:coauthVersionMax="47" xr10:uidLastSave="{00000000-0000-0000-0000-000000000000}"/>
  <bookViews>
    <workbookView xWindow="-108" yWindow="-108" windowWidth="23256" windowHeight="14616" xr2:uid="{A679ECE5-BDC6-41E1-8584-57328C609B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1" l="1"/>
  <c r="E20" i="1"/>
  <c r="E17" i="1"/>
  <c r="E14" i="1"/>
  <c r="H10" i="1"/>
  <c r="B20" i="1"/>
  <c r="B14" i="1"/>
  <c r="B11" i="1"/>
  <c r="B8" i="1"/>
  <c r="H12" i="1"/>
  <c r="H9" i="1"/>
  <c r="H6" i="1"/>
  <c r="F26" i="1"/>
  <c r="E26" i="1"/>
  <c r="C26" i="1"/>
  <c r="B26" i="1"/>
  <c r="F23" i="1"/>
  <c r="C23" i="1"/>
  <c r="B23" i="1"/>
  <c r="F20" i="1"/>
  <c r="C20" i="1"/>
  <c r="F17" i="1"/>
  <c r="C17" i="1"/>
  <c r="B17" i="1"/>
  <c r="F14" i="1"/>
  <c r="C14" i="1"/>
  <c r="F11" i="1"/>
  <c r="E11" i="1"/>
  <c r="C11" i="1"/>
  <c r="F8" i="1"/>
  <c r="C8" i="1"/>
  <c r="I19" i="1"/>
  <c r="H19" i="1"/>
  <c r="I18" i="1"/>
  <c r="I16" i="1"/>
  <c r="H16" i="1"/>
  <c r="I15" i="1"/>
  <c r="I30" i="1"/>
  <c r="H30" i="1"/>
  <c r="I29" i="1"/>
  <c r="H29" i="1"/>
  <c r="I28" i="1"/>
  <c r="H28" i="1"/>
  <c r="I27" i="1"/>
  <c r="H27" i="1"/>
  <c r="H26" i="1" s="1"/>
  <c r="I25" i="1"/>
  <c r="H25" i="1"/>
  <c r="I24" i="1"/>
  <c r="H24" i="1"/>
  <c r="H23" i="1" s="1"/>
  <c r="I22" i="1"/>
  <c r="I20" i="1" s="1"/>
  <c r="I21" i="1"/>
  <c r="H21" i="1"/>
  <c r="I13" i="1"/>
  <c r="I12" i="1"/>
  <c r="I11" i="1" s="1"/>
  <c r="I9" i="1"/>
  <c r="I6" i="1"/>
  <c r="H18" i="1" l="1"/>
  <c r="H17" i="1" s="1"/>
  <c r="H15" i="1"/>
  <c r="E8" i="1"/>
  <c r="E7" i="1" s="1"/>
  <c r="E31" i="1" s="1"/>
  <c r="H22" i="1"/>
  <c r="H20" i="1" s="1"/>
  <c r="H13" i="1"/>
  <c r="H11" i="1" s="1"/>
  <c r="H14" i="1"/>
  <c r="I14" i="1"/>
  <c r="F7" i="1"/>
  <c r="F31" i="1" s="1"/>
  <c r="I26" i="1"/>
  <c r="I23" i="1"/>
  <c r="I17" i="1"/>
  <c r="B7" i="1"/>
  <c r="B31" i="1" s="1"/>
  <c r="C7" i="1"/>
  <c r="C31" i="1"/>
  <c r="H8" i="1"/>
  <c r="I10" i="1"/>
  <c r="H7" i="1" l="1"/>
  <c r="H31" i="1" s="1"/>
  <c r="I8" i="1"/>
  <c r="I7" i="1" s="1"/>
  <c r="I31" i="1" s="1"/>
</calcChain>
</file>

<file path=xl/sharedStrings.xml><?xml version="1.0" encoding="utf-8"?>
<sst xmlns="http://schemas.openxmlformats.org/spreadsheetml/2006/main" count="43" uniqueCount="23">
  <si>
    <t>Copa Telmex Telcel</t>
  </si>
  <si>
    <t>Mes</t>
  </si>
  <si>
    <t>Acumulado</t>
  </si>
  <si>
    <t>Segmento</t>
  </si>
  <si>
    <t>Junio</t>
  </si>
  <si>
    <t>Enero-Junio</t>
  </si>
  <si>
    <t>Ingresos</t>
  </si>
  <si>
    <t>Costos Directos</t>
  </si>
  <si>
    <t>Gastos de Transmisión y RRSS</t>
  </si>
  <si>
    <t>Gastos de Patrocinios</t>
  </si>
  <si>
    <t>Remanente</t>
  </si>
  <si>
    <t>Presupuesto</t>
  </si>
  <si>
    <t>Real</t>
  </si>
  <si>
    <t>Variación</t>
  </si>
  <si>
    <t>Fase Nacional</t>
  </si>
  <si>
    <t>Cena de integración / Bienvenida</t>
  </si>
  <si>
    <t>Viaje de campeones</t>
  </si>
  <si>
    <t>Generales del torneo</t>
  </si>
  <si>
    <t>Fase Estatal</t>
  </si>
  <si>
    <t>Fase Colectiva</t>
  </si>
  <si>
    <t>Periodo de inscripción</t>
  </si>
  <si>
    <t>Partida 1</t>
  </si>
  <si>
    <t>Partida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</si>
</sst>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;[Red]\(\$#,##0.0\);\-"/>
    <numFmt numFmtId="165" formatCode="\$#,##0.0;\(\$#,##0.0\);\-"/>
    <numFmt numFmtId="166" formatCode="#,##0.0;[Red]#,##0.0"/>
  </numFmts>
  <fonts count="6" x14ac:knownFonts="1">
    <font>
      <sz val="11"/>
      <color theme="1"/>
      <name val="Aptos Narrow"/>
      <family val="2"/>
      <scheme val="minor"/>
    </font>
    <font>
      <b/>
      <sz val="11"/>
      <name val="Calibri Light"/>
      <family val="2"/>
    </font>
    <font>
      <b/>
      <sz val="11"/>
      <color theme="0"/>
      <name val="Calibri Light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b/>
      <sz val="11"/>
      <color theme="0" tint="-4.9989318521683403E-2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theme="5" tint="-0.249977111117893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theme="5" tint="-0.249977111117893"/>
      </bottom>
      <diagonal/>
    </border>
    <border>
      <left/>
      <right/>
      <top style="thin">
        <color theme="5" tint="-0.249977111117893"/>
      </top>
      <bottom/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double">
        <color theme="5" tint="-0.249977111117893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164" fontId="3" fillId="3" borderId="5" xfId="0" applyNumberFormat="1" applyFont="1" applyFill="1" applyBorder="1" applyAlignment="1">
      <alignment horizontal="right" indent="1"/>
    </xf>
    <xf numFmtId="164" fontId="4" fillId="0" borderId="5" xfId="0" applyNumberFormat="1" applyFont="1" applyBorder="1" applyAlignment="1">
      <alignment horizontal="right" indent="1"/>
    </xf>
    <xf numFmtId="0" fontId="5" fillId="4" borderId="6" xfId="0" applyFont="1" applyFill="1" applyBorder="1" applyAlignment="1">
      <alignment horizontal="right" indent="1"/>
    </xf>
    <xf numFmtId="165" fontId="5" fillId="4" borderId="6" xfId="0" applyNumberFormat="1" applyFont="1" applyFill="1" applyBorder="1" applyAlignment="1">
      <alignment horizontal="right" indent="1"/>
    </xf>
    <xf numFmtId="166" fontId="0" fillId="0" borderId="0" xfId="0" applyNumberFormat="1"/>
    <xf numFmtId="164" fontId="4" fillId="5" borderId="5" xfId="0" applyNumberFormat="1" applyFont="1" applyFill="1" applyBorder="1" applyAlignment="1">
      <alignment horizontal="right" indent="1"/>
    </xf>
    <xf numFmtId="0" fontId="3" fillId="5" borderId="5" xfId="0" applyFont="1" applyFill="1" applyBorder="1" applyAlignment="1">
      <alignment horizontal="left" indent="1"/>
    </xf>
    <xf numFmtId="0" fontId="4" fillId="0" borderId="5" xfId="0" applyFont="1" applyBorder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C3BA-BE79-46E2-AC5D-F240875D31F2}">
  <dimension ref="A1:I31"/>
  <sheetViews>
    <sheetView tabSelected="1" workbookViewId="0">
      <selection activeCell="C1" sqref="C1"/>
    </sheetView>
  </sheetViews>
  <sheetFormatPr baseColWidth="10" defaultRowHeight="14.4" x14ac:dyDescent="0.3"/>
  <cols>
    <col min="1" max="1" width="32.44140625" bestFit="1" customWidth="1"/>
    <col min="4" max="4" width="5.77734375" customWidth="1"/>
    <col min="7" max="7" width="5.77734375" customWidth="1"/>
  </cols>
  <sheetData>
    <row r="1" spans="1:9" x14ac:dyDescent="0.3">
      <c r="A1" s="2" t="s">
        <v>0</v>
      </c>
      <c r="B1" s="2"/>
    </row>
    <row r="2" spans="1:9" x14ac:dyDescent="0.3">
      <c r="A2" s="1"/>
      <c r="B2" s="1"/>
    </row>
    <row r="3" spans="1:9" x14ac:dyDescent="0.3">
      <c r="A3" s="1"/>
      <c r="B3" s="2" t="s">
        <v>11</v>
      </c>
      <c r="C3" s="2"/>
      <c r="E3" s="2" t="s">
        <v>12</v>
      </c>
      <c r="F3" s="2"/>
      <c r="H3" s="2" t="s">
        <v>13</v>
      </c>
      <c r="I3" s="2"/>
    </row>
    <row r="4" spans="1:9" x14ac:dyDescent="0.3">
      <c r="A4" s="1"/>
      <c r="B4" s="3" t="s">
        <v>1</v>
      </c>
      <c r="C4" s="3" t="s">
        <v>2</v>
      </c>
      <c r="E4" s="3" t="s">
        <v>1</v>
      </c>
      <c r="F4" s="3" t="s">
        <v>2</v>
      </c>
      <c r="H4" s="3" t="s">
        <v>1</v>
      </c>
      <c r="I4" s="3" t="s">
        <v>2</v>
      </c>
    </row>
    <row r="5" spans="1:9" x14ac:dyDescent="0.3">
      <c r="A5" s="4" t="s">
        <v>3</v>
      </c>
      <c r="B5" s="5" t="s">
        <v>4</v>
      </c>
      <c r="C5" s="5" t="s">
        <v>5</v>
      </c>
      <c r="E5" s="5" t="s">
        <v>4</v>
      </c>
      <c r="F5" s="5" t="s">
        <v>5</v>
      </c>
      <c r="H5" s="5" t="s">
        <v>4</v>
      </c>
      <c r="I5" s="5" t="s">
        <v>5</v>
      </c>
    </row>
    <row r="6" spans="1:9" x14ac:dyDescent="0.3">
      <c r="A6" s="6" t="s">
        <v>6</v>
      </c>
      <c r="B6" s="7">
        <v>2400</v>
      </c>
      <c r="C6" s="7">
        <v>13850</v>
      </c>
      <c r="E6" s="7">
        <v>0</v>
      </c>
      <c r="F6" s="7">
        <v>11450</v>
      </c>
      <c r="H6" s="7">
        <f>B6-E6</f>
        <v>2400</v>
      </c>
      <c r="I6" s="7">
        <f>C6-F6</f>
        <v>2400</v>
      </c>
    </row>
    <row r="7" spans="1:9" x14ac:dyDescent="0.3">
      <c r="A7" s="6" t="s">
        <v>7</v>
      </c>
      <c r="B7" s="7">
        <f>B8+B11+B14+B17+B20+B23+B26</f>
        <v>1370.93</v>
      </c>
      <c r="C7" s="7">
        <f>C8+C11+C14+C17+C20+C23+C26</f>
        <v>11330</v>
      </c>
      <c r="E7" s="7">
        <f>E8+E11+E14+E17+E20+E23+E26</f>
        <v>1386.2407000000001</v>
      </c>
      <c r="F7" s="7">
        <f>F8+F11+F14+F17+F20+F23+F26</f>
        <v>11140</v>
      </c>
      <c r="H7" s="7">
        <f>H8+H11+H14+H17+H20+H23+H26</f>
        <v>-15.310700000000022</v>
      </c>
      <c r="I7" s="7">
        <f>I8+I11+I14+I17+I20+I23+I26</f>
        <v>190</v>
      </c>
    </row>
    <row r="8" spans="1:9" x14ac:dyDescent="0.3">
      <c r="A8" s="13" t="s">
        <v>17</v>
      </c>
      <c r="B8" s="12">
        <f>SUM(B9:B10)</f>
        <v>72.599999999999994</v>
      </c>
      <c r="C8" s="12">
        <f>SUM(C9:C10)</f>
        <v>600</v>
      </c>
      <c r="E8" s="12">
        <f>SUM(E9:E10)</f>
        <v>73.736999999999995</v>
      </c>
      <c r="F8" s="12">
        <f>SUM(F9:F10)</f>
        <v>450</v>
      </c>
      <c r="H8" s="12">
        <f>SUM(H9:H10)</f>
        <v>-1.1370000000000005</v>
      </c>
      <c r="I8" s="12">
        <f>SUM(I9:I10)</f>
        <v>150</v>
      </c>
    </row>
    <row r="9" spans="1:9" x14ac:dyDescent="0.3">
      <c r="A9" s="14" t="s">
        <v>21</v>
      </c>
      <c r="B9" s="8">
        <v>60.5</v>
      </c>
      <c r="C9" s="8">
        <v>500</v>
      </c>
      <c r="E9" s="8">
        <v>62</v>
      </c>
      <c r="F9" s="8">
        <v>350</v>
      </c>
      <c r="H9" s="8">
        <f>B9-E9</f>
        <v>-1.5</v>
      </c>
      <c r="I9" s="8">
        <f t="shared" ref="I9:I28" si="0">C9-F9</f>
        <v>150</v>
      </c>
    </row>
    <row r="10" spans="1:9" x14ac:dyDescent="0.3">
      <c r="A10" s="14" t="s">
        <v>22</v>
      </c>
      <c r="B10" s="8">
        <v>12.1</v>
      </c>
      <c r="C10" s="8">
        <v>100</v>
      </c>
      <c r="E10" s="8">
        <v>11.737</v>
      </c>
      <c r="F10" s="8">
        <v>100</v>
      </c>
      <c r="G10" s="11"/>
      <c r="H10" s="8">
        <f>B10-E10</f>
        <v>0.36299999999999955</v>
      </c>
      <c r="I10" s="8">
        <f t="shared" si="0"/>
        <v>0</v>
      </c>
    </row>
    <row r="11" spans="1:9" x14ac:dyDescent="0.3">
      <c r="A11" s="13" t="s">
        <v>20</v>
      </c>
      <c r="B11" s="12">
        <f>SUM(B12:B13)</f>
        <v>18.149999999999999</v>
      </c>
      <c r="C11" s="12">
        <f>SUM(C12:C13)</f>
        <v>150</v>
      </c>
      <c r="E11" s="12">
        <f>SUM(E12:E13)</f>
        <v>18.737000000000002</v>
      </c>
      <c r="F11" s="12">
        <f>SUM(F12:F13)</f>
        <v>145</v>
      </c>
      <c r="H11" s="12">
        <f>SUM(H12:H13)</f>
        <v>-0.58700000000000063</v>
      </c>
      <c r="I11" s="12">
        <f>SUM(I12:I13)</f>
        <v>5</v>
      </c>
    </row>
    <row r="12" spans="1:9" x14ac:dyDescent="0.3">
      <c r="A12" s="14" t="s">
        <v>21</v>
      </c>
      <c r="B12" s="8">
        <v>12.1</v>
      </c>
      <c r="C12" s="8">
        <v>100</v>
      </c>
      <c r="E12" s="8">
        <v>11.737</v>
      </c>
      <c r="F12" s="8">
        <v>105</v>
      </c>
      <c r="H12" s="8">
        <f>B12-E12</f>
        <v>0.36299999999999955</v>
      </c>
      <c r="I12" s="8">
        <f t="shared" si="0"/>
        <v>-5</v>
      </c>
    </row>
    <row r="13" spans="1:9" x14ac:dyDescent="0.3">
      <c r="A13" s="14" t="s">
        <v>22</v>
      </c>
      <c r="B13" s="8">
        <v>6.05</v>
      </c>
      <c r="C13" s="8">
        <v>50</v>
      </c>
      <c r="E13" s="8">
        <v>7</v>
      </c>
      <c r="F13" s="8">
        <v>40</v>
      </c>
      <c r="H13" s="8">
        <f>B13-E13</f>
        <v>-0.95000000000000018</v>
      </c>
      <c r="I13" s="8">
        <f t="shared" si="0"/>
        <v>10</v>
      </c>
    </row>
    <row r="14" spans="1:9" x14ac:dyDescent="0.3">
      <c r="A14" s="13" t="s">
        <v>15</v>
      </c>
      <c r="B14" s="12">
        <f>SUM(B15:B16)</f>
        <v>66.55</v>
      </c>
      <c r="C14" s="12">
        <f>SUM(C15:C16)</f>
        <v>550</v>
      </c>
      <c r="E14" s="12">
        <f>SUM(E15:E16)</f>
        <v>66.868499999999997</v>
      </c>
      <c r="F14" s="12">
        <f>SUM(F15:F16)</f>
        <v>550</v>
      </c>
      <c r="H14" s="12">
        <f>SUM(H15:H16)</f>
        <v>-0.31850000000000023</v>
      </c>
      <c r="I14" s="12">
        <f>SUM(I15:I16)</f>
        <v>0</v>
      </c>
    </row>
    <row r="15" spans="1:9" x14ac:dyDescent="0.3">
      <c r="A15" s="14" t="s">
        <v>21</v>
      </c>
      <c r="B15" s="8">
        <v>60.5</v>
      </c>
      <c r="C15" s="8">
        <v>500</v>
      </c>
      <c r="E15" s="8">
        <v>61</v>
      </c>
      <c r="F15" s="8">
        <v>500</v>
      </c>
      <c r="H15" s="8">
        <f t="shared" ref="H15:H19" si="1">B15-E15</f>
        <v>-0.5</v>
      </c>
      <c r="I15" s="8">
        <f t="shared" ref="I15:I19" si="2">C15-F15</f>
        <v>0</v>
      </c>
    </row>
    <row r="16" spans="1:9" x14ac:dyDescent="0.3">
      <c r="A16" s="14" t="s">
        <v>22</v>
      </c>
      <c r="B16" s="8">
        <v>6.05</v>
      </c>
      <c r="C16" s="8">
        <v>50</v>
      </c>
      <c r="E16" s="8">
        <v>5.8685</v>
      </c>
      <c r="F16" s="8">
        <v>50</v>
      </c>
      <c r="H16" s="8">
        <f t="shared" si="1"/>
        <v>0.18149999999999977</v>
      </c>
      <c r="I16" s="8">
        <f t="shared" si="2"/>
        <v>0</v>
      </c>
    </row>
    <row r="17" spans="1:9" x14ac:dyDescent="0.3">
      <c r="A17" s="13" t="s">
        <v>19</v>
      </c>
      <c r="B17" s="12">
        <f>SUM(B18:B19)</f>
        <v>20.57</v>
      </c>
      <c r="C17" s="12">
        <f>SUM(C18:C19)</f>
        <v>170</v>
      </c>
      <c r="E17" s="12">
        <f>SUM(E18:E19)</f>
        <v>36.299999999999997</v>
      </c>
      <c r="F17" s="12">
        <f>SUM(F18:F19)</f>
        <v>125</v>
      </c>
      <c r="H17" s="12">
        <f>SUM(H18:H19)</f>
        <v>-15.729999999999999</v>
      </c>
      <c r="I17" s="12">
        <f>SUM(I18:I19)</f>
        <v>45</v>
      </c>
    </row>
    <row r="18" spans="1:9" x14ac:dyDescent="0.3">
      <c r="A18" s="14" t="s">
        <v>21</v>
      </c>
      <c r="B18" s="8">
        <v>18.149999999999999</v>
      </c>
      <c r="C18" s="8">
        <v>150</v>
      </c>
      <c r="E18" s="8">
        <v>18.149999999999999</v>
      </c>
      <c r="F18" s="8">
        <v>120</v>
      </c>
      <c r="H18" s="8">
        <f t="shared" ref="H18:H19" si="3">B18-E18</f>
        <v>0</v>
      </c>
      <c r="I18" s="8">
        <f t="shared" ref="I18:I19" si="4">C18-F18</f>
        <v>30</v>
      </c>
    </row>
    <row r="19" spans="1:9" x14ac:dyDescent="0.3">
      <c r="A19" s="14" t="s">
        <v>22</v>
      </c>
      <c r="B19" s="8">
        <v>2.42</v>
      </c>
      <c r="C19" s="8">
        <v>20</v>
      </c>
      <c r="E19" s="8">
        <v>18.149999999999999</v>
      </c>
      <c r="F19" s="8">
        <v>5</v>
      </c>
      <c r="H19" s="8">
        <f t="shared" si="3"/>
        <v>-15.729999999999999</v>
      </c>
      <c r="I19" s="8">
        <f t="shared" si="4"/>
        <v>15</v>
      </c>
    </row>
    <row r="20" spans="1:9" x14ac:dyDescent="0.3">
      <c r="A20" s="13" t="s">
        <v>18</v>
      </c>
      <c r="B20" s="12">
        <f>SUM(B21:B22)</f>
        <v>43.56</v>
      </c>
      <c r="C20" s="12">
        <f>SUM(C21:C22)</f>
        <v>360</v>
      </c>
      <c r="E20" s="12">
        <f>SUM(E21:E22)</f>
        <v>42.2532</v>
      </c>
      <c r="F20" s="12">
        <f>SUM(F21:F22)</f>
        <v>370</v>
      </c>
      <c r="H20" s="12">
        <f>SUM(H21:H22)</f>
        <v>1.3067999999999984</v>
      </c>
      <c r="I20" s="12">
        <f>SUM(I21:I22)</f>
        <v>-10</v>
      </c>
    </row>
    <row r="21" spans="1:9" x14ac:dyDescent="0.3">
      <c r="A21" s="14" t="s">
        <v>21</v>
      </c>
      <c r="B21" s="8">
        <v>42.35</v>
      </c>
      <c r="C21" s="8">
        <v>350</v>
      </c>
      <c r="E21" s="8">
        <v>41.079500000000003</v>
      </c>
      <c r="F21" s="8">
        <v>358</v>
      </c>
      <c r="H21" s="8">
        <f t="shared" ref="H9:H28" si="5">B21-E21</f>
        <v>1.2704999999999984</v>
      </c>
      <c r="I21" s="8">
        <f t="shared" si="0"/>
        <v>-8</v>
      </c>
    </row>
    <row r="22" spans="1:9" x14ac:dyDescent="0.3">
      <c r="A22" s="14" t="s">
        <v>22</v>
      </c>
      <c r="B22" s="8">
        <v>1.21</v>
      </c>
      <c r="C22" s="8">
        <v>10</v>
      </c>
      <c r="E22" s="8">
        <v>1.1737</v>
      </c>
      <c r="F22" s="8">
        <v>12</v>
      </c>
      <c r="H22" s="8">
        <f t="shared" si="5"/>
        <v>3.6299999999999999E-2</v>
      </c>
      <c r="I22" s="8">
        <f t="shared" si="0"/>
        <v>-2</v>
      </c>
    </row>
    <row r="23" spans="1:9" x14ac:dyDescent="0.3">
      <c r="A23" s="13" t="s">
        <v>14</v>
      </c>
      <c r="B23" s="12">
        <f>SUM(B24:B25)</f>
        <v>968</v>
      </c>
      <c r="C23" s="12">
        <f>SUM(C24:C25)</f>
        <v>8000</v>
      </c>
      <c r="E23" s="12">
        <f>SUM(E24:E25)</f>
        <v>938.96</v>
      </c>
      <c r="F23" s="12">
        <f>SUM(F24:F25)</f>
        <v>7700</v>
      </c>
      <c r="H23" s="12">
        <f>SUM(H24:H25)</f>
        <v>29.039999999999964</v>
      </c>
      <c r="I23" s="12">
        <f>SUM(I24:I25)</f>
        <v>300</v>
      </c>
    </row>
    <row r="24" spans="1:9" x14ac:dyDescent="0.3">
      <c r="A24" s="14" t="s">
        <v>21</v>
      </c>
      <c r="B24" s="8">
        <v>605</v>
      </c>
      <c r="C24" s="8">
        <v>5000</v>
      </c>
      <c r="E24" s="8">
        <v>586.85</v>
      </c>
      <c r="F24" s="8">
        <v>4500</v>
      </c>
      <c r="H24" s="8">
        <f t="shared" si="5"/>
        <v>18.149999999999977</v>
      </c>
      <c r="I24" s="8">
        <f t="shared" si="0"/>
        <v>500</v>
      </c>
    </row>
    <row r="25" spans="1:9" x14ac:dyDescent="0.3">
      <c r="A25" s="14" t="s">
        <v>22</v>
      </c>
      <c r="B25" s="8">
        <v>363</v>
      </c>
      <c r="C25" s="8">
        <v>3000</v>
      </c>
      <c r="E25" s="8">
        <v>352.11</v>
      </c>
      <c r="F25" s="8">
        <v>3200</v>
      </c>
      <c r="H25" s="8">
        <f t="shared" si="5"/>
        <v>10.889999999999986</v>
      </c>
      <c r="I25" s="8">
        <f t="shared" si="0"/>
        <v>-200</v>
      </c>
    </row>
    <row r="26" spans="1:9" x14ac:dyDescent="0.3">
      <c r="A26" s="13" t="s">
        <v>16</v>
      </c>
      <c r="B26" s="12">
        <f>SUM(B27:B28)</f>
        <v>181.5</v>
      </c>
      <c r="C26" s="12">
        <f>SUM(C27:C28)</f>
        <v>1500</v>
      </c>
      <c r="E26" s="12">
        <f>SUM(E27:E28)</f>
        <v>209.38499999999999</v>
      </c>
      <c r="F26" s="12">
        <f>SUM(F27:F28)</f>
        <v>1800</v>
      </c>
      <c r="H26" s="12">
        <f>SUM(H27:H28)</f>
        <v>-27.884999999999984</v>
      </c>
      <c r="I26" s="12">
        <f>SUM(I27:I28)</f>
        <v>-300</v>
      </c>
    </row>
    <row r="27" spans="1:9" x14ac:dyDescent="0.3">
      <c r="A27" s="14" t="s">
        <v>21</v>
      </c>
      <c r="B27" s="8">
        <v>121</v>
      </c>
      <c r="C27" s="8">
        <v>1000</v>
      </c>
      <c r="E27" s="8">
        <v>150.69999999999999</v>
      </c>
      <c r="F27" s="8">
        <v>1500</v>
      </c>
      <c r="H27" s="8">
        <f t="shared" si="5"/>
        <v>-29.699999999999989</v>
      </c>
      <c r="I27" s="8">
        <f t="shared" si="0"/>
        <v>-500</v>
      </c>
    </row>
    <row r="28" spans="1:9" x14ac:dyDescent="0.3">
      <c r="A28" s="14" t="s">
        <v>22</v>
      </c>
      <c r="B28" s="8">
        <v>60.5</v>
      </c>
      <c r="C28" s="8">
        <v>500</v>
      </c>
      <c r="E28" s="8">
        <v>58.684999999999995</v>
      </c>
      <c r="F28" s="8">
        <v>300</v>
      </c>
      <c r="H28" s="8">
        <f t="shared" si="5"/>
        <v>1.8150000000000048</v>
      </c>
      <c r="I28" s="8">
        <f t="shared" si="0"/>
        <v>200</v>
      </c>
    </row>
    <row r="29" spans="1:9" x14ac:dyDescent="0.3">
      <c r="A29" s="6" t="s">
        <v>8</v>
      </c>
      <c r="B29" s="7">
        <v>5</v>
      </c>
      <c r="C29" s="7">
        <v>4.8</v>
      </c>
      <c r="E29" s="7">
        <v>4.0999999999999996</v>
      </c>
      <c r="F29" s="7">
        <v>4.8</v>
      </c>
      <c r="H29" s="7">
        <f t="shared" ref="H29:H30" si="6">B29-E29</f>
        <v>0.90000000000000036</v>
      </c>
      <c r="I29" s="7">
        <f t="shared" ref="I29:I30" si="7">C29-F29</f>
        <v>0</v>
      </c>
    </row>
    <row r="30" spans="1:9" ht="15" thickBot="1" x14ac:dyDescent="0.35">
      <c r="A30" s="6" t="s">
        <v>9</v>
      </c>
      <c r="B30" s="7">
        <v>13.2</v>
      </c>
      <c r="C30" s="7">
        <v>273.5</v>
      </c>
      <c r="E30" s="7">
        <v>14</v>
      </c>
      <c r="F30" s="7">
        <v>273.5</v>
      </c>
      <c r="H30" s="7">
        <f t="shared" si="6"/>
        <v>-0.80000000000000071</v>
      </c>
      <c r="I30" s="7">
        <f t="shared" si="7"/>
        <v>0</v>
      </c>
    </row>
    <row r="31" spans="1:9" ht="15" thickTop="1" x14ac:dyDescent="0.3">
      <c r="A31" s="9" t="s">
        <v>10</v>
      </c>
      <c r="B31" s="10">
        <f>B6-B7-B29-B30</f>
        <v>1010.8699999999999</v>
      </c>
      <c r="C31" s="10">
        <f>C6-C7-C29-C30</f>
        <v>2241.6999999999998</v>
      </c>
      <c r="E31" s="10">
        <f>E6-E7-E29-E30</f>
        <v>-1404.3407</v>
      </c>
      <c r="F31" s="10">
        <f>F6-F7-F29-F30</f>
        <v>31.699999999999989</v>
      </c>
      <c r="H31" s="10">
        <f>H6-H7-H29-H30</f>
        <v>2415.2107000000001</v>
      </c>
      <c r="I31" s="10">
        <f>I6-I7-I29-I30</f>
        <v>2210</v>
      </c>
    </row>
  </sheetData>
  <mergeCells count="4">
    <mergeCell ref="B3:C3"/>
    <mergeCell ref="E3:F3"/>
    <mergeCell ref="H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 López</dc:creator>
  <cp:lastModifiedBy>Juan Pablo  López</cp:lastModifiedBy>
  <dcterms:created xsi:type="dcterms:W3CDTF">2026-07-15T17:07:28Z</dcterms:created>
  <dcterms:modified xsi:type="dcterms:W3CDTF">2026-07-15T18:00:25Z</dcterms:modified>
</cp:coreProperties>
</file>