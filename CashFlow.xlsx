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uan Pablo Lopez\Documents\1 Reportería\6 Transformación Digital\Gestión Presupuestal\"/>
    </mc:Choice>
  </mc:AlternateContent>
  <xr:revisionPtr revIDLastSave="0" documentId="8_{D0C379E5-6D63-4335-B4EA-390791990CC3}" xr6:coauthVersionLast="47" xr6:coauthVersionMax="47" xr10:uidLastSave="{00000000-0000-0000-0000-000000000000}"/>
  <bookViews>
    <workbookView xWindow="-108" yWindow="-108" windowWidth="23256" windowHeight="14616" xr2:uid="{051D0E69-B866-4558-BCDB-087D635CD36C}"/>
  </bookViews>
  <sheets>
    <sheet name="EFE" sheetId="1" r:id="rId1"/>
  </sheets>
  <definedNames>
    <definedName name="_xlnm.Print_Area" localSheetId="0">EFE!$O$1:$U$22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21" i="1" l="1"/>
  <c r="P21" i="1"/>
  <c r="O21" i="1"/>
  <c r="Q20" i="1"/>
  <c r="P20" i="1"/>
  <c r="O20" i="1"/>
  <c r="Q19" i="1"/>
  <c r="P19" i="1"/>
  <c r="O19" i="1"/>
  <c r="Q18" i="1"/>
  <c r="P18" i="1"/>
  <c r="O18" i="1"/>
  <c r="Q17" i="1"/>
  <c r="P17" i="1"/>
  <c r="O17" i="1"/>
  <c r="Q16" i="1"/>
  <c r="P16" i="1"/>
  <c r="O16" i="1"/>
  <c r="U15" i="1"/>
  <c r="T15" i="1"/>
  <c r="T6" i="1" s="1"/>
  <c r="S15" i="1"/>
  <c r="S6" i="1" s="1"/>
  <c r="M15" i="1"/>
  <c r="L15" i="1"/>
  <c r="K15" i="1"/>
  <c r="J15" i="1"/>
  <c r="I15" i="1"/>
  <c r="H15" i="1"/>
  <c r="G15" i="1"/>
  <c r="F15" i="1"/>
  <c r="E15" i="1"/>
  <c r="D15" i="1"/>
  <c r="C15" i="1"/>
  <c r="B15" i="1"/>
  <c r="Q14" i="1"/>
  <c r="P14" i="1"/>
  <c r="O14" i="1"/>
  <c r="Q13" i="1"/>
  <c r="P13" i="1"/>
  <c r="O13" i="1"/>
  <c r="Q12" i="1"/>
  <c r="P12" i="1"/>
  <c r="O12" i="1"/>
  <c r="Q11" i="1"/>
  <c r="P11" i="1"/>
  <c r="O11" i="1"/>
  <c r="Q10" i="1"/>
  <c r="P10" i="1"/>
  <c r="O10" i="1"/>
  <c r="Q9" i="1"/>
  <c r="P9" i="1"/>
  <c r="O9" i="1"/>
  <c r="U8" i="1"/>
  <c r="M8" i="1"/>
  <c r="L8" i="1"/>
  <c r="K8" i="1"/>
  <c r="J8" i="1"/>
  <c r="I8" i="1"/>
  <c r="H8" i="1"/>
  <c r="G8" i="1"/>
  <c r="F8" i="1"/>
  <c r="E8" i="1"/>
  <c r="D8" i="1"/>
  <c r="C8" i="1"/>
  <c r="B8" i="1"/>
  <c r="B22" i="1" s="1"/>
  <c r="C6" i="1" s="1"/>
  <c r="C22" i="1" s="1"/>
  <c r="D6" i="1" s="1"/>
  <c r="D22" i="1" s="1"/>
  <c r="E6" i="1" s="1"/>
  <c r="E22" i="1" s="1"/>
  <c r="F6" i="1" s="1"/>
  <c r="F22" i="1" s="1"/>
  <c r="G6" i="1" s="1"/>
  <c r="G22" i="1" s="1"/>
  <c r="U6" i="1"/>
  <c r="G23" i="1" l="1"/>
  <c r="O22" i="1"/>
  <c r="O15" i="1" s="1"/>
  <c r="O8" i="1" s="1"/>
  <c r="H6" i="1"/>
  <c r="H22" i="1" s="1"/>
  <c r="I6" i="1" s="1"/>
  <c r="I22" i="1" s="1"/>
  <c r="J6" i="1" s="1"/>
  <c r="J22" i="1" s="1"/>
  <c r="K6" i="1" s="1"/>
  <c r="K22" i="1" s="1"/>
  <c r="L6" i="1" s="1"/>
  <c r="L22" i="1" s="1"/>
  <c r="S8" i="1"/>
  <c r="T8" i="1"/>
  <c r="O6" i="1" l="1"/>
  <c r="P22" i="1"/>
  <c r="P15" i="1" s="1"/>
  <c r="M6" i="1"/>
  <c r="M22" i="1" s="1"/>
  <c r="Q22" i="1" s="1"/>
  <c r="Q15" i="1" s="1"/>
  <c r="Q6" i="1" l="1"/>
  <c r="Q8" i="1"/>
  <c r="P6" i="1"/>
  <c r="P8" i="1"/>
</calcChain>
</file>

<file path=xl/sharedStrings.xml><?xml version="1.0" encoding="utf-8"?>
<sst xmlns="http://schemas.openxmlformats.org/spreadsheetml/2006/main" count="41" uniqueCount="24">
  <si>
    <t xml:space="preserve">                                Flujo de Efectivo</t>
  </si>
  <si>
    <r>
      <t xml:space="preserve">                                Al 30 de junio 2026 </t>
    </r>
    <r>
      <rPr>
        <i/>
        <sz val="12"/>
        <rFont val="Calibri Light"/>
        <family val="2"/>
      </rPr>
      <t>(cifras presentadas en miles de pesos)</t>
    </r>
  </si>
  <si>
    <t>Cifras Mensuales</t>
  </si>
  <si>
    <t>Segmento</t>
  </si>
  <si>
    <t xml:space="preserve"> Cífras Acumuladas 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</si>
  <si>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</si>
  <si>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</si>
  <si>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</si>
  <si>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</si>
  <si>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</si>
  <si>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</si>
  <si>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</si>
  <si>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</si>
  <si>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</si>
  <si>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</si>
  <si>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</si>
  <si>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</si>
  <si>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Anterior</t>
  </si>
  <si>
    <t>SALDO INICIAL:</t>
  </si>
  <si>
    <t>Ingresos</t>
  </si>
  <si>
    <t>Origen</t>
  </si>
  <si>
    <t>Conceptos/Proyectos</t>
  </si>
  <si>
    <t>Aplicaciones</t>
  </si>
  <si>
    <t>SALDO FINAL: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</si>
</sst>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;[Red]\(\$#,##0.00\);\-"/>
    <numFmt numFmtId="165" formatCode="\$#,##0.0;[Red]\(\$#,##0.0\);\-"/>
  </numFmts>
  <fonts count="10" x14ac:knownFonts="1">
    <font>
      <sz val="11"/>
      <color theme="1"/>
      <name val="Aptos Narrow"/>
      <family val="2"/>
      <scheme val="minor"/>
    </font>
    <font>
      <b/>
      <sz val="15"/>
      <name val="Calibri"/>
      <family val="2"/>
    </font>
    <font>
      <sz val="11"/>
      <name val="Calibri Light"/>
      <family val="2"/>
    </font>
    <font>
      <i/>
      <sz val="15"/>
      <name val="Calibri"/>
      <family val="2"/>
    </font>
    <font>
      <i/>
      <sz val="12"/>
      <name val="Calibri Light"/>
      <family val="2"/>
    </font>
    <font>
      <b/>
      <sz val="11"/>
      <color rgb="FFFF0066"/>
      <name val="Calibri"/>
      <family val="2"/>
    </font>
    <font>
      <b/>
      <sz val="11"/>
      <name val="Calibri Light"/>
      <family val="2"/>
    </font>
    <font>
      <b/>
      <sz val="11"/>
      <color theme="0"/>
      <name val="Calibri Light"/>
      <family val="2"/>
    </font>
    <font>
      <b/>
      <sz val="11"/>
      <color rgb="FF000000"/>
      <name val="Calibri Light"/>
      <family val="2"/>
    </font>
    <font>
      <sz val="11"/>
      <color rgb="FF000000"/>
      <name val="Calibri Light"/>
      <family val="2"/>
    </font>
  </fonts>
  <fills count="6">
    <fill>
      <patternFill patternType="none"/>
    </fill>
    <fill>
      <patternFill patternType="gray125"/>
    </fill>
    <fill>
      <patternFill patternType="solid">
        <fgColor rgb="FFC00000"/>
        <bgColor theme="5" tint="-0.249977111117893"/>
      </patternFill>
    </fill>
    <fill>
      <patternFill patternType="solid">
        <fgColor theme="0" tint="-0.14999847407452621"/>
        <bgColor theme="5" tint="0.39997558519241921"/>
      </patternFill>
    </fill>
    <fill>
      <patternFill patternType="solid">
        <fgColor theme="5" tint="0.39997558519241921"/>
        <bgColor theme="5" tint="0.39997558519241921"/>
      </patternFill>
    </fill>
    <fill>
      <patternFill patternType="solid">
        <fgColor theme="0" tint="-4.9989318521683403E-2"/>
        <bgColor theme="5" tint="0.39997558519241921"/>
      </patternFill>
    </fill>
  </fills>
  <borders count="7">
    <border>
      <left/>
      <right/>
      <top/>
      <bottom/>
      <diagonal/>
    </border>
    <border>
      <left/>
      <right/>
      <top/>
      <bottom style="thin">
        <color theme="5" tint="-0.249977111117893"/>
      </bottom>
      <diagonal/>
    </border>
    <border>
      <left/>
      <right/>
      <top style="thin">
        <color theme="5" tint="-0.249977111117893"/>
      </top>
      <bottom style="thin">
        <color theme="5" tint="0.79998168889431442"/>
      </bottom>
      <diagonal/>
    </border>
    <border>
      <left/>
      <right/>
      <top style="thin">
        <color theme="5" tint="-0.249977111117893"/>
      </top>
      <bottom/>
      <diagonal/>
    </border>
    <border>
      <left/>
      <right/>
      <top/>
      <bottom style="thin">
        <color theme="5" tint="0.79998168889431442"/>
      </bottom>
      <diagonal/>
    </border>
    <border>
      <left/>
      <right/>
      <top style="thin">
        <color theme="5" tint="0.79998168889431442"/>
      </top>
      <bottom style="thin">
        <color theme="5" tint="0.79998168889431442"/>
      </bottom>
      <diagonal/>
    </border>
    <border>
      <left/>
      <right/>
      <top style="thin">
        <color theme="5" tint="0.79998168889431442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Font="1"/>
    <xf numFmtId="0" fontId="7" fillId="2" borderId="1" xfId="0" applyFont="1" applyFill="1" applyBorder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right" indent="1"/>
    </xf>
    <xf numFmtId="164" fontId="8" fillId="3" borderId="5" xfId="0" applyNumberFormat="1" applyFont="1" applyFill="1" applyBorder="1"/>
    <xf numFmtId="165" fontId="8" fillId="4" borderId="5" xfId="0" applyNumberFormat="1" applyFont="1" applyFill="1" applyBorder="1"/>
    <xf numFmtId="0" fontId="8" fillId="4" borderId="5" xfId="0" applyFont="1" applyFill="1" applyBorder="1" applyAlignment="1">
      <alignment horizontal="center"/>
    </xf>
    <xf numFmtId="0" fontId="8" fillId="0" borderId="5" xfId="0" applyFont="1" applyBorder="1" applyAlignment="1">
      <alignment horizontal="left"/>
    </xf>
    <xf numFmtId="164" fontId="8" fillId="0" borderId="5" xfId="0" applyNumberFormat="1" applyFont="1" applyBorder="1"/>
    <xf numFmtId="165" fontId="8" fillId="0" borderId="5" xfId="0" applyNumberFormat="1" applyFont="1" applyBorder="1"/>
    <xf numFmtId="0" fontId="8" fillId="0" borderId="5" xfId="0" applyFont="1" applyBorder="1" applyAlignment="1">
      <alignment horizontal="center"/>
    </xf>
    <xf numFmtId="0" fontId="8" fillId="5" borderId="5" xfId="0" applyFont="1" applyFill="1" applyBorder="1" applyAlignment="1">
      <alignment horizontal="left" indent="1"/>
    </xf>
    <xf numFmtId="164" fontId="8" fillId="5" borderId="5" xfId="0" applyNumberFormat="1" applyFont="1" applyFill="1" applyBorder="1"/>
    <xf numFmtId="0" fontId="9" fillId="0" borderId="5" xfId="0" applyFont="1" applyBorder="1" applyAlignment="1">
      <alignment horizontal="left" indent="4"/>
    </xf>
    <xf numFmtId="164" fontId="9" fillId="0" borderId="5" xfId="0" applyNumberFormat="1" applyFont="1" applyBorder="1"/>
    <xf numFmtId="165" fontId="9" fillId="0" borderId="5" xfId="0" applyNumberFormat="1" applyFont="1" applyBorder="1"/>
    <xf numFmtId="0" fontId="9" fillId="0" borderId="5" xfId="0" applyFont="1" applyBorder="1" applyAlignment="1">
      <alignment horizontal="center"/>
    </xf>
    <xf numFmtId="164" fontId="9" fillId="0" borderId="6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60959</xdr:colOff>
      <xdr:row>0</xdr:row>
      <xdr:rowOff>60960</xdr:rowOff>
    </xdr:from>
    <xdr:ext cx="1255495" cy="432000"/>
    <xdr:pic>
      <xdr:nvPicPr>
        <xdr:cNvPr id="2" name="Imagen 1">
          <a:extLst>
            <a:ext uri="{FF2B5EF4-FFF2-40B4-BE49-F238E27FC236}">
              <a16:creationId xmlns:a16="http://schemas.microsoft.com/office/drawing/2014/main" id="{3B07FA8D-8A42-41B7-B690-6394B1BDC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36639" y="60960"/>
          <a:ext cx="1255495" cy="432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Escala de grises">
      <a:dk1>
        <a:sysClr val="windowText" lastClr="000000"/>
      </a:dk1>
      <a:lt1>
        <a:sysClr val="window" lastClr="FFFFFF"/>
      </a:lt1>
      <a:dk2>
        <a:srgbClr val="000000"/>
      </a:dk2>
      <a:lt2>
        <a:srgbClr val="F8F8F8"/>
      </a:lt2>
      <a:accent1>
        <a:srgbClr val="DDDDDD"/>
      </a:accent1>
      <a:accent2>
        <a:srgbClr val="B2B2B2"/>
      </a:accent2>
      <a:accent3>
        <a:srgbClr val="969696"/>
      </a:accent3>
      <a:accent4>
        <a:srgbClr val="808080"/>
      </a:accent4>
      <a:accent5>
        <a:srgbClr val="5F5F5F"/>
      </a:accent5>
      <a:accent6>
        <a:srgbClr val="4D4D4D"/>
      </a:accent6>
      <a:hlink>
        <a:srgbClr val="5F5F5F"/>
      </a:hlink>
      <a:folHlink>
        <a:srgbClr val="919191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B55DC46-99A9-4DF6-A26A-9329DADA0EFD}">
  <we:reference id="wa200005271" version="2.6.0.0" store="es-ES" storeType="OMEX"/>
  <we:alternateReferences>
    <we:reference id="wa200005271" version="2.6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CD47A-E742-4788-BCE9-ACC385542761}">
  <sheetPr>
    <tabColor rgb="FFFFFFCC"/>
    <pageSetUpPr fitToPage="1"/>
  </sheetPr>
  <dimension ref="A1:U23"/>
  <sheetViews>
    <sheetView showGridLines="0" tabSelected="1" workbookViewId="0">
      <pane xSplit="1" ySplit="5" topLeftCell="B6" activePane="bottomRight" state="frozen"/>
      <selection pane="topRight"/>
      <selection pane="bottomLeft"/>
      <selection pane="bottomRight" activeCell="A6" sqref="A6"/>
    </sheetView>
  </sheetViews>
  <sheetFormatPr baseColWidth="10" defaultRowHeight="14.4" x14ac:dyDescent="0.3"/>
  <cols>
    <col min="1" max="1" width="45.77734375" customWidth="1"/>
    <col min="2" max="13" width="17.77734375" customWidth="1"/>
    <col min="14" max="14" width="14.6640625" bestFit="1" customWidth="1"/>
    <col min="15" max="17" width="15.77734375" customWidth="1"/>
    <col min="18" max="18" width="45.77734375" customWidth="1"/>
    <col min="19" max="21" width="15.77734375" customWidth="1"/>
  </cols>
  <sheetData>
    <row r="1" spans="1:21" s="2" customFormat="1" ht="19.8" x14ac:dyDescent="0.4">
      <c r="A1" s="1"/>
      <c r="F1" s="1"/>
      <c r="G1" s="1"/>
      <c r="O1" s="1" t="s">
        <v>0</v>
      </c>
    </row>
    <row r="2" spans="1:21" s="2" customFormat="1" ht="19.8" x14ac:dyDescent="0.4">
      <c r="A2" s="3"/>
      <c r="F2" s="3"/>
      <c r="G2" s="3"/>
      <c r="O2" s="3" t="s">
        <v>1</v>
      </c>
    </row>
    <row r="3" spans="1:21" s="2" customFormat="1" ht="19.8" x14ac:dyDescent="0.4">
      <c r="A3" s="3"/>
      <c r="N3" s="3"/>
      <c r="U3" s="4"/>
    </row>
    <row r="4" spans="1:21" s="2" customFormat="1" x14ac:dyDescent="0.3">
      <c r="A4" s="5"/>
      <c r="B4" s="6">
        <v>2026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O4" s="6" t="s">
        <v>2</v>
      </c>
      <c r="P4" s="6"/>
      <c r="Q4" s="6"/>
      <c r="R4" s="7" t="s">
        <v>3</v>
      </c>
      <c r="S4" s="6" t="s">
        <v>4</v>
      </c>
      <c r="T4" s="6"/>
      <c r="U4" s="6"/>
    </row>
    <row r="5" spans="1:21" x14ac:dyDescent="0.3">
      <c r="A5" s="8" t="s">
        <v>3</v>
      </c>
      <c r="B5" s="9" t="s">
        <v>5</v>
      </c>
      <c r="C5" s="9" t="s">
        <v>6</v>
      </c>
      <c r="D5" s="9" t="s">
        <v>7</v>
      </c>
      <c r="E5" s="9" t="s">
        <v>8</v>
      </c>
      <c r="F5" s="9" t="s">
        <v>9</v>
      </c>
      <c r="G5" s="9" t="s">
        <v>10</v>
      </c>
      <c r="H5" s="9" t="s">
        <v>11</v>
      </c>
      <c r="I5" s="9" t="s">
        <v>12</v>
      </c>
      <c r="J5" s="9" t="s">
        <v>13</v>
      </c>
      <c r="K5" s="9" t="s">
        <v>14</v>
      </c>
      <c r="L5" s="9" t="s">
        <v>15</v>
      </c>
      <c r="M5" s="9" t="s">
        <v>16</v>
      </c>
      <c r="O5" s="10" t="s">
        <v>17</v>
      </c>
      <c r="P5" s="10" t="s">
        <v>17</v>
      </c>
      <c r="Q5" s="10">
        <v>2026</v>
      </c>
      <c r="R5" s="11"/>
      <c r="S5" s="10">
        <v>2026</v>
      </c>
      <c r="T5" s="10" t="s">
        <v>17</v>
      </c>
      <c r="U5" s="10" t="s">
        <v>17</v>
      </c>
    </row>
    <row r="6" spans="1:21" x14ac:dyDescent="0.3">
      <c r="A6" s="12" t="s">
        <v>18</v>
      </c>
      <c r="B6" s="13">
        <v>76392.5</v>
      </c>
      <c r="C6" s="13">
        <f>B22</f>
        <v>76392.5</v>
      </c>
      <c r="D6" s="13">
        <f t="shared" ref="D6:L6" si="0">C22</f>
        <v>76392.5</v>
      </c>
      <c r="E6" s="13">
        <f t="shared" si="0"/>
        <v>76392.5</v>
      </c>
      <c r="F6" s="13">
        <f t="shared" si="0"/>
        <v>76392.5</v>
      </c>
      <c r="G6" s="13">
        <f t="shared" si="0"/>
        <v>76392.5</v>
      </c>
      <c r="H6" s="13">
        <f t="shared" si="0"/>
        <v>76392.5</v>
      </c>
      <c r="I6" s="13">
        <f t="shared" si="0"/>
        <v>76392.5</v>
      </c>
      <c r="J6" s="13">
        <f t="shared" si="0"/>
        <v>76392.5</v>
      </c>
      <c r="K6" s="13">
        <f t="shared" si="0"/>
        <v>76392.5</v>
      </c>
      <c r="L6" s="13">
        <f t="shared" si="0"/>
        <v>76392.5</v>
      </c>
      <c r="M6" s="13">
        <f>L22</f>
        <v>76392.5</v>
      </c>
      <c r="O6" s="14">
        <f>SUM(O9:O22)</f>
        <v>-152.80000000000001</v>
      </c>
      <c r="P6" s="14">
        <f>SUM(P9:P22)</f>
        <v>-152.80000000000001</v>
      </c>
      <c r="Q6" s="14">
        <f>SUM(Q9:Q22)</f>
        <v>-152.80000000000001</v>
      </c>
      <c r="R6" s="15" t="s">
        <v>19</v>
      </c>
      <c r="S6" s="14">
        <f>SUM(S9:S22)</f>
        <v>0</v>
      </c>
      <c r="T6" s="14">
        <f>SUM(T9:T22)</f>
        <v>0</v>
      </c>
      <c r="U6" s="14">
        <f>SUM(U9:U22)</f>
        <v>0</v>
      </c>
    </row>
    <row r="7" spans="1:21" x14ac:dyDescent="0.3">
      <c r="A7" s="16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O7" s="18"/>
      <c r="P7" s="18"/>
      <c r="Q7" s="18"/>
      <c r="R7" s="19"/>
      <c r="S7" s="18"/>
      <c r="T7" s="18"/>
      <c r="U7" s="18"/>
    </row>
    <row r="8" spans="1:21" x14ac:dyDescent="0.3">
      <c r="A8" s="20" t="s">
        <v>20</v>
      </c>
      <c r="B8" s="21">
        <f>SUM(B9:B14)</f>
        <v>0</v>
      </c>
      <c r="C8" s="21">
        <f>SUM(C9:C14)</f>
        <v>0</v>
      </c>
      <c r="D8" s="21">
        <f t="shared" ref="D8:L8" si="1">SUM(D9:D14)</f>
        <v>0</v>
      </c>
      <c r="E8" s="21">
        <f t="shared" si="1"/>
        <v>0</v>
      </c>
      <c r="F8" s="21">
        <f t="shared" si="1"/>
        <v>0</v>
      </c>
      <c r="G8" s="21">
        <f t="shared" si="1"/>
        <v>0</v>
      </c>
      <c r="H8" s="21">
        <f t="shared" si="1"/>
        <v>0</v>
      </c>
      <c r="I8" s="21">
        <f t="shared" si="1"/>
        <v>0</v>
      </c>
      <c r="J8" s="21">
        <f t="shared" si="1"/>
        <v>0</v>
      </c>
      <c r="K8" s="21">
        <f t="shared" si="1"/>
        <v>0</v>
      </c>
      <c r="L8" s="21">
        <f t="shared" si="1"/>
        <v>0</v>
      </c>
      <c r="M8" s="21">
        <f>SUM(M9:M14)</f>
        <v>0</v>
      </c>
      <c r="O8" s="14">
        <f>SUM(O10:O22)</f>
        <v>-152.80000000000001</v>
      </c>
      <c r="P8" s="14">
        <f>SUM(P10:P22)</f>
        <v>-152.80000000000001</v>
      </c>
      <c r="Q8" s="14">
        <f>SUM(Q10:Q22)</f>
        <v>-152.80000000000001</v>
      </c>
      <c r="R8" s="15" t="s">
        <v>19</v>
      </c>
      <c r="S8" s="14">
        <f>SUM(S10:S22)</f>
        <v>0</v>
      </c>
      <c r="T8" s="14">
        <f>SUM(T10:T22)</f>
        <v>0</v>
      </c>
      <c r="U8" s="14">
        <f>SUM(U10:U22)</f>
        <v>0</v>
      </c>
    </row>
    <row r="9" spans="1:21" x14ac:dyDescent="0.3">
      <c r="A9" s="22" t="s">
        <v>21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O9" s="24">
        <f t="shared" ref="O9:O22" si="2">-ROUND(G9/1000,1)</f>
        <v>0</v>
      </c>
      <c r="P9" s="24">
        <f t="shared" ref="P9:Q22" si="3">-ROUND(L9/1000,1)</f>
        <v>0</v>
      </c>
      <c r="Q9" s="24">
        <f t="shared" si="3"/>
        <v>0</v>
      </c>
      <c r="R9" s="25"/>
      <c r="S9" s="24"/>
      <c r="T9" s="24"/>
      <c r="U9" s="24"/>
    </row>
    <row r="10" spans="1:21" x14ac:dyDescent="0.3">
      <c r="A10" s="22" t="s">
        <v>21</v>
      </c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O10" s="24">
        <f t="shared" si="2"/>
        <v>0</v>
      </c>
      <c r="P10" s="24">
        <f t="shared" si="3"/>
        <v>0</v>
      </c>
      <c r="Q10" s="24">
        <f t="shared" si="3"/>
        <v>0</v>
      </c>
      <c r="R10" s="25"/>
      <c r="S10" s="24"/>
      <c r="T10" s="24"/>
      <c r="U10" s="24"/>
    </row>
    <row r="11" spans="1:21" x14ac:dyDescent="0.3">
      <c r="A11" s="22" t="s">
        <v>21</v>
      </c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O11" s="24">
        <f t="shared" si="2"/>
        <v>0</v>
      </c>
      <c r="P11" s="24">
        <f t="shared" si="3"/>
        <v>0</v>
      </c>
      <c r="Q11" s="24">
        <f t="shared" si="3"/>
        <v>0</v>
      </c>
      <c r="R11" s="25"/>
      <c r="S11" s="24"/>
      <c r="T11" s="24"/>
      <c r="U11" s="24"/>
    </row>
    <row r="12" spans="1:21" x14ac:dyDescent="0.3">
      <c r="A12" s="22" t="s">
        <v>21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O12" s="24">
        <f t="shared" si="2"/>
        <v>0</v>
      </c>
      <c r="P12" s="24">
        <f t="shared" si="3"/>
        <v>0</v>
      </c>
      <c r="Q12" s="24">
        <f t="shared" si="3"/>
        <v>0</v>
      </c>
      <c r="R12" s="25"/>
      <c r="S12" s="24"/>
      <c r="T12" s="24"/>
      <c r="U12" s="24"/>
    </row>
    <row r="13" spans="1:21" x14ac:dyDescent="0.3">
      <c r="A13" s="22" t="s">
        <v>21</v>
      </c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O13" s="24">
        <f t="shared" si="2"/>
        <v>0</v>
      </c>
      <c r="P13" s="24">
        <f t="shared" si="3"/>
        <v>0</v>
      </c>
      <c r="Q13" s="24">
        <f t="shared" si="3"/>
        <v>0</v>
      </c>
      <c r="R13" s="25"/>
      <c r="S13" s="24"/>
      <c r="T13" s="24"/>
      <c r="U13" s="24"/>
    </row>
    <row r="14" spans="1:21" x14ac:dyDescent="0.3">
      <c r="A14" s="22" t="s">
        <v>21</v>
      </c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O14" s="24">
        <f t="shared" si="2"/>
        <v>0</v>
      </c>
      <c r="P14" s="24">
        <f t="shared" si="3"/>
        <v>0</v>
      </c>
      <c r="Q14" s="24">
        <f t="shared" si="3"/>
        <v>0</v>
      </c>
      <c r="R14" s="25"/>
      <c r="S14" s="24"/>
      <c r="T14" s="24"/>
      <c r="U14" s="24"/>
    </row>
    <row r="15" spans="1:21" x14ac:dyDescent="0.3">
      <c r="A15" s="20" t="s">
        <v>22</v>
      </c>
      <c r="B15" s="21">
        <f>SUM(B16:B21)</f>
        <v>0</v>
      </c>
      <c r="C15" s="21">
        <f>SUM(C16:C21)</f>
        <v>0</v>
      </c>
      <c r="D15" s="21">
        <f t="shared" ref="D15:L15" si="4">SUM(D16:D21)</f>
        <v>0</v>
      </c>
      <c r="E15" s="21">
        <f t="shared" si="4"/>
        <v>0</v>
      </c>
      <c r="F15" s="21">
        <f t="shared" si="4"/>
        <v>0</v>
      </c>
      <c r="G15" s="21">
        <f t="shared" si="4"/>
        <v>0</v>
      </c>
      <c r="H15" s="21">
        <f t="shared" si="4"/>
        <v>0</v>
      </c>
      <c r="I15" s="21">
        <f t="shared" si="4"/>
        <v>0</v>
      </c>
      <c r="J15" s="21">
        <f t="shared" si="4"/>
        <v>0</v>
      </c>
      <c r="K15" s="21">
        <f t="shared" si="4"/>
        <v>0</v>
      </c>
      <c r="L15" s="21">
        <f t="shared" si="4"/>
        <v>0</v>
      </c>
      <c r="M15" s="21">
        <f>SUM(M16:M21)</f>
        <v>0</v>
      </c>
      <c r="O15" s="14">
        <f>SUM(O16:O25)</f>
        <v>-76.400000000000006</v>
      </c>
      <c r="P15" s="14">
        <f>SUM(P16:P25)</f>
        <v>-76.400000000000006</v>
      </c>
      <c r="Q15" s="14">
        <f>SUM(Q16:Q25)</f>
        <v>-76.400000000000006</v>
      </c>
      <c r="R15" s="15" t="s">
        <v>19</v>
      </c>
      <c r="S15" s="14">
        <f>SUM(S16:S25)</f>
        <v>0</v>
      </c>
      <c r="T15" s="14">
        <f>SUM(T16:T25)</f>
        <v>0</v>
      </c>
      <c r="U15" s="14">
        <f>SUM(U16:U25)</f>
        <v>0</v>
      </c>
    </row>
    <row r="16" spans="1:21" x14ac:dyDescent="0.3">
      <c r="A16" s="22" t="s">
        <v>21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O16" s="24">
        <f t="shared" ref="O16:O21" si="5">-ROUND(G16/1000,1)</f>
        <v>0</v>
      </c>
      <c r="P16" s="24">
        <f t="shared" ref="P16:Q21" si="6">-ROUND(L16/1000,1)</f>
        <v>0</v>
      </c>
      <c r="Q16" s="24">
        <f t="shared" si="6"/>
        <v>0</v>
      </c>
      <c r="R16" s="25"/>
      <c r="S16" s="24"/>
      <c r="T16" s="24"/>
      <c r="U16" s="24"/>
    </row>
    <row r="17" spans="1:21" x14ac:dyDescent="0.3">
      <c r="A17" s="22" t="s">
        <v>21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O17" s="24">
        <f t="shared" si="5"/>
        <v>0</v>
      </c>
      <c r="P17" s="24">
        <f t="shared" si="6"/>
        <v>0</v>
      </c>
      <c r="Q17" s="24">
        <f t="shared" si="6"/>
        <v>0</v>
      </c>
      <c r="R17" s="25"/>
      <c r="S17" s="24"/>
      <c r="T17" s="24"/>
      <c r="U17" s="24"/>
    </row>
    <row r="18" spans="1:21" x14ac:dyDescent="0.3">
      <c r="A18" s="22" t="s">
        <v>21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O18" s="24">
        <f t="shared" si="5"/>
        <v>0</v>
      </c>
      <c r="P18" s="24">
        <f t="shared" si="6"/>
        <v>0</v>
      </c>
      <c r="Q18" s="24">
        <f t="shared" si="6"/>
        <v>0</v>
      </c>
      <c r="R18" s="25"/>
      <c r="S18" s="24"/>
      <c r="T18" s="24"/>
      <c r="U18" s="24"/>
    </row>
    <row r="19" spans="1:21" x14ac:dyDescent="0.3">
      <c r="A19" s="22" t="s">
        <v>21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O19" s="24">
        <f t="shared" si="5"/>
        <v>0</v>
      </c>
      <c r="P19" s="24">
        <f t="shared" si="6"/>
        <v>0</v>
      </c>
      <c r="Q19" s="24">
        <f t="shared" si="6"/>
        <v>0</v>
      </c>
      <c r="R19" s="25"/>
      <c r="S19" s="24"/>
      <c r="T19" s="24"/>
      <c r="U19" s="24"/>
    </row>
    <row r="20" spans="1:21" x14ac:dyDescent="0.3">
      <c r="A20" s="22" t="s">
        <v>21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O20" s="24">
        <f t="shared" si="5"/>
        <v>0</v>
      </c>
      <c r="P20" s="24">
        <f t="shared" si="6"/>
        <v>0</v>
      </c>
      <c r="Q20" s="24">
        <f t="shared" si="6"/>
        <v>0</v>
      </c>
      <c r="R20" s="25"/>
      <c r="S20" s="24"/>
      <c r="T20" s="24"/>
      <c r="U20" s="24"/>
    </row>
    <row r="21" spans="1:21" x14ac:dyDescent="0.3">
      <c r="A21" s="22" t="s">
        <v>21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O21" s="24">
        <f t="shared" si="5"/>
        <v>0</v>
      </c>
      <c r="P21" s="24">
        <f t="shared" si="6"/>
        <v>0</v>
      </c>
      <c r="Q21" s="24">
        <f t="shared" si="6"/>
        <v>0</v>
      </c>
      <c r="R21" s="25"/>
      <c r="S21" s="24"/>
      <c r="T21" s="24"/>
      <c r="U21" s="24"/>
    </row>
    <row r="22" spans="1:21" x14ac:dyDescent="0.3">
      <c r="A22" s="12" t="s">
        <v>23</v>
      </c>
      <c r="B22" s="13">
        <f>B6+B8-B15</f>
        <v>76392.5</v>
      </c>
      <c r="C22" s="13">
        <f>C6+C8-C15</f>
        <v>76392.5</v>
      </c>
      <c r="D22" s="13">
        <f t="shared" ref="D22:L22" si="7">D6+D8-D15</f>
        <v>76392.5</v>
      </c>
      <c r="E22" s="13">
        <f t="shared" si="7"/>
        <v>76392.5</v>
      </c>
      <c r="F22" s="13">
        <f t="shared" si="7"/>
        <v>76392.5</v>
      </c>
      <c r="G22" s="13">
        <f t="shared" si="7"/>
        <v>76392.5</v>
      </c>
      <c r="H22" s="13">
        <f t="shared" si="7"/>
        <v>76392.5</v>
      </c>
      <c r="I22" s="13">
        <f t="shared" si="7"/>
        <v>76392.5</v>
      </c>
      <c r="J22" s="13">
        <f t="shared" si="7"/>
        <v>76392.5</v>
      </c>
      <c r="K22" s="13">
        <f t="shared" si="7"/>
        <v>76392.5</v>
      </c>
      <c r="L22" s="13">
        <f t="shared" si="7"/>
        <v>76392.5</v>
      </c>
      <c r="M22" s="13">
        <f>M6+M8-M15</f>
        <v>76392.5</v>
      </c>
      <c r="O22" s="24">
        <f t="shared" si="2"/>
        <v>-76.400000000000006</v>
      </c>
      <c r="P22" s="24">
        <f t="shared" si="3"/>
        <v>-76.400000000000006</v>
      </c>
      <c r="Q22" s="24">
        <f t="shared" si="3"/>
        <v>-76.400000000000006</v>
      </c>
      <c r="R22" s="25"/>
      <c r="S22" s="24"/>
      <c r="T22" s="24"/>
      <c r="U22" s="24"/>
    </row>
    <row r="23" spans="1:21" x14ac:dyDescent="0.3">
      <c r="G23" s="26">
        <f>85603.73-G22</f>
        <v>9211.2299999999959</v>
      </c>
      <c r="H23" s="26"/>
      <c r="I23" s="26"/>
      <c r="J23" s="26"/>
      <c r="K23" s="26"/>
      <c r="L23" s="26"/>
      <c r="M23" s="26"/>
    </row>
  </sheetData>
  <mergeCells count="4">
    <mergeCell ref="B4:M4"/>
    <mergeCell ref="O4:Q4"/>
    <mergeCell ref="R4:R5"/>
    <mergeCell ref="S4:U4"/>
  </mergeCells>
  <pageMargins left="0.70866141732283472" right="0.70866141732283472" top="0.74803149606299213" bottom="0.74803149606299213" header="0.31496062992125984" footer="0.31496062992125984"/>
  <pageSetup scale="6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EFE</vt:lpstr>
      <vt:lpstr>EFE!Área_de_impresión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 López</dc:creator>
  <cp:lastModifiedBy>Juan Pablo  López</cp:lastModifiedBy>
  <dcterms:created xsi:type="dcterms:W3CDTF">2026-09-01T23:31:26Z</dcterms:created>
  <dcterms:modified xsi:type="dcterms:W3CDTF">2026-09-01T23:31:48Z</dcterms:modified>
</cp:coreProperties>
</file>